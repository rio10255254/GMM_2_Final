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8_SPIE\SEM\"/>
    </mc:Choice>
  </mc:AlternateContent>
  <xr:revisionPtr revIDLastSave="0" documentId="8_{C63A4EAA-6E71-466D-A39C-D6526C866438}" xr6:coauthVersionLast="47" xr6:coauthVersionMax="47" xr10:uidLastSave="{00000000-0000-0000-0000-000000000000}"/>
  <bookViews>
    <workbookView xWindow="-120" yWindow="-120" windowWidth="29040" windowHeight="15840" activeTab="1" xr2:uid="{EB091888-41C7-4E35-945F-A305DCC3FC2F}"/>
  </bookViews>
  <sheets>
    <sheet name="工作表1" sheetId="1" r:id="rId1"/>
    <sheet name="SEM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8" i="2" l="1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J7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O6" i="2"/>
  <c r="O7" i="2"/>
  <c r="O8" i="2"/>
  <c r="O9" i="2"/>
  <c r="O10" i="2"/>
  <c r="O5" i="2"/>
  <c r="N6" i="2"/>
  <c r="N7" i="2"/>
  <c r="N8" i="2"/>
  <c r="N9" i="2"/>
  <c r="N10" i="2"/>
  <c r="N5" i="2"/>
  <c r="M6" i="2"/>
  <c r="M7" i="2"/>
  <c r="M8" i="2"/>
  <c r="M9" i="2"/>
  <c r="M10" i="2"/>
  <c r="M5" i="2"/>
  <c r="K6" i="2"/>
  <c r="K7" i="2"/>
  <c r="K8" i="2"/>
  <c r="K9" i="2"/>
  <c r="K10" i="2"/>
  <c r="K5" i="2"/>
  <c r="J6" i="2"/>
  <c r="J8" i="2"/>
  <c r="J9" i="2"/>
  <c r="J10" i="2"/>
  <c r="J5" i="2"/>
  <c r="L6" i="2"/>
  <c r="L7" i="2"/>
  <c r="L8" i="2"/>
  <c r="L9" i="2"/>
  <c r="L10" i="2"/>
  <c r="L5" i="2"/>
  <c r="R33" i="2"/>
  <c r="R32" i="2"/>
  <c r="R28" i="2"/>
  <c r="R27" i="2"/>
  <c r="R26" i="2"/>
  <c r="R25" i="2"/>
  <c r="R23" i="2"/>
  <c r="R22" i="2"/>
  <c r="R21" i="2"/>
  <c r="R16" i="2"/>
  <c r="R11" i="2"/>
  <c r="R10" i="2"/>
  <c r="I12" i="2"/>
  <c r="R9" i="2" s="1"/>
  <c r="R8" i="2"/>
  <c r="R7" i="2"/>
  <c r="F11" i="2"/>
  <c r="R6" i="2" s="1"/>
  <c r="I16" i="2"/>
  <c r="I15" i="2"/>
  <c r="I14" i="2"/>
  <c r="I13" i="2"/>
  <c r="R15" i="2" s="1"/>
  <c r="H16" i="2"/>
  <c r="R34" i="2" s="1"/>
  <c r="H15" i="2"/>
  <c r="H14" i="2"/>
  <c r="H13" i="2"/>
  <c r="G16" i="2"/>
  <c r="R35" i="2" s="1"/>
  <c r="G15" i="2"/>
  <c r="R29" i="2" s="1"/>
  <c r="G14" i="2"/>
  <c r="G13" i="2"/>
  <c r="R17" i="2" s="1"/>
  <c r="G12" i="2"/>
  <c r="F16" i="2"/>
  <c r="R36" i="2" s="1"/>
  <c r="F15" i="2"/>
  <c r="R30" i="2" s="1"/>
  <c r="F14" i="2"/>
  <c r="R24" i="2" s="1"/>
  <c r="F13" i="2"/>
  <c r="R18" i="2" s="1"/>
  <c r="F12" i="2"/>
  <c r="R12" i="2" s="1"/>
  <c r="E16" i="2"/>
  <c r="R37" i="2" s="1"/>
  <c r="E15" i="2"/>
  <c r="R31" i="2" s="1"/>
  <c r="E14" i="2"/>
  <c r="E13" i="2"/>
  <c r="R19" i="2" s="1"/>
  <c r="E12" i="2"/>
  <c r="R13" i="2" s="1"/>
  <c r="D16" i="2"/>
  <c r="R38" i="2" s="1"/>
  <c r="D15" i="2"/>
  <c r="D14" i="2"/>
  <c r="D13" i="2"/>
  <c r="R20" i="2" s="1"/>
  <c r="D12" i="2"/>
  <c r="R14" i="2" s="1"/>
  <c r="D11" i="2"/>
  <c r="E11" i="2"/>
  <c r="G11" i="2"/>
  <c r="R5" i="2" s="1"/>
  <c r="I11" i="2"/>
  <c r="R3" i="2" s="1"/>
  <c r="H12" i="2"/>
  <c r="H11" i="2"/>
  <c r="R4" i="2" s="1"/>
  <c r="K75" i="1"/>
  <c r="P75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59" i="1"/>
  <c r="K61" i="1"/>
  <c r="K63" i="1"/>
  <c r="K64" i="1"/>
  <c r="K65" i="1"/>
  <c r="K67" i="1"/>
  <c r="K68" i="1"/>
  <c r="K69" i="1"/>
  <c r="K71" i="1"/>
  <c r="K72" i="1"/>
  <c r="K73" i="1"/>
  <c r="K74" i="1"/>
  <c r="K59" i="1"/>
  <c r="K60" i="1"/>
  <c r="I60" i="1"/>
  <c r="I61" i="1"/>
  <c r="I62" i="1"/>
  <c r="I63" i="1"/>
  <c r="I64" i="1"/>
  <c r="I65" i="1"/>
  <c r="I66" i="1"/>
  <c r="I67" i="1"/>
  <c r="I68" i="1"/>
  <c r="I69" i="1"/>
  <c r="I71" i="1"/>
  <c r="I72" i="1"/>
  <c r="I73" i="1"/>
  <c r="I74" i="1"/>
  <c r="I59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3" i="1"/>
  <c r="Z67" i="1"/>
  <c r="U67" i="1"/>
  <c r="F4" i="1"/>
  <c r="M4" i="1" s="1"/>
  <c r="F5" i="1"/>
  <c r="M5" i="1" s="1"/>
  <c r="F6" i="1"/>
  <c r="M6" i="1" s="1"/>
  <c r="F7" i="1"/>
  <c r="M7" i="1" s="1"/>
  <c r="F8" i="1"/>
  <c r="M8" i="1" s="1"/>
  <c r="F9" i="1"/>
  <c r="M9" i="1" s="1"/>
  <c r="F10" i="1"/>
  <c r="M10" i="1" s="1"/>
  <c r="F11" i="1"/>
  <c r="M11" i="1" s="1"/>
  <c r="F12" i="1"/>
  <c r="M12" i="1" s="1"/>
  <c r="F13" i="1"/>
  <c r="M13" i="1" s="1"/>
  <c r="F14" i="1"/>
  <c r="M14" i="1" s="1"/>
  <c r="F15" i="1"/>
  <c r="M15" i="1" s="1"/>
  <c r="F16" i="1"/>
  <c r="M16" i="1" s="1"/>
  <c r="F17" i="1"/>
  <c r="M17" i="1" s="1"/>
  <c r="F18" i="1"/>
  <c r="M18" i="1" s="1"/>
  <c r="F3" i="1"/>
  <c r="M3" i="1" s="1"/>
  <c r="H4" i="1"/>
  <c r="O4" i="1" s="1"/>
  <c r="H5" i="1"/>
  <c r="O5" i="1" s="1"/>
  <c r="H6" i="1"/>
  <c r="O6" i="1" s="1"/>
  <c r="H7" i="1"/>
  <c r="O7" i="1" s="1"/>
  <c r="H8" i="1"/>
  <c r="O8" i="1" s="1"/>
  <c r="H9" i="1"/>
  <c r="O9" i="1" s="1"/>
  <c r="H10" i="1"/>
  <c r="O10" i="1" s="1"/>
  <c r="H11" i="1"/>
  <c r="O11" i="1" s="1"/>
  <c r="H12" i="1"/>
  <c r="O12" i="1" s="1"/>
  <c r="H13" i="1"/>
  <c r="O13" i="1" s="1"/>
  <c r="H14" i="1"/>
  <c r="O14" i="1" s="1"/>
  <c r="H15" i="1"/>
  <c r="O15" i="1" s="1"/>
  <c r="H16" i="1"/>
  <c r="O16" i="1" s="1"/>
  <c r="H17" i="1"/>
  <c r="O17" i="1" s="1"/>
  <c r="H18" i="1"/>
  <c r="O18" i="1" s="1"/>
  <c r="H3" i="1"/>
  <c r="O3" i="1" s="1"/>
  <c r="J4" i="1"/>
  <c r="Q4" i="1" s="1"/>
  <c r="J5" i="1"/>
  <c r="Q5" i="1" s="1"/>
  <c r="J6" i="1"/>
  <c r="Q6" i="1" s="1"/>
  <c r="J7" i="1"/>
  <c r="Q7" i="1" s="1"/>
  <c r="J8" i="1"/>
  <c r="Q8" i="1" s="1"/>
  <c r="J9" i="1"/>
  <c r="Q9" i="1" s="1"/>
  <c r="J10" i="1"/>
  <c r="Q10" i="1" s="1"/>
  <c r="J11" i="1"/>
  <c r="Q11" i="1" s="1"/>
  <c r="J12" i="1"/>
  <c r="Q12" i="1" s="1"/>
  <c r="J13" i="1"/>
  <c r="Q13" i="1" s="1"/>
  <c r="J14" i="1"/>
  <c r="Q14" i="1" s="1"/>
  <c r="J15" i="1"/>
  <c r="Q15" i="1" s="1"/>
  <c r="J16" i="1"/>
  <c r="Q16" i="1" s="1"/>
  <c r="J17" i="1"/>
  <c r="Q17" i="1" s="1"/>
  <c r="J18" i="1"/>
  <c r="Q18" i="1" s="1"/>
  <c r="J3" i="1"/>
  <c r="Q3" i="1" s="1"/>
  <c r="N12" i="1" l="1"/>
  <c r="N3" i="1"/>
  <c r="N18" i="1"/>
  <c r="N17" i="1"/>
  <c r="N16" i="1"/>
  <c r="N14" i="1"/>
  <c r="N15" i="1"/>
  <c r="N13" i="1"/>
  <c r="N11" i="1"/>
  <c r="N10" i="1"/>
  <c r="N7" i="1"/>
  <c r="N6" i="1"/>
  <c r="N9" i="1"/>
  <c r="N8" i="1"/>
  <c r="N5" i="1"/>
  <c r="N4" i="1"/>
  <c r="P9" i="1"/>
  <c r="P8" i="1"/>
  <c r="P6" i="1"/>
  <c r="P11" i="1"/>
  <c r="P7" i="1"/>
  <c r="P5" i="1"/>
  <c r="P10" i="1"/>
  <c r="P4" i="1"/>
  <c r="P18" i="1"/>
  <c r="P16" i="1"/>
  <c r="P14" i="1"/>
  <c r="P17" i="1"/>
  <c r="P3" i="1"/>
  <c r="P15" i="1"/>
  <c r="P13" i="1"/>
  <c r="P12" i="1"/>
</calcChain>
</file>

<file path=xl/sharedStrings.xml><?xml version="1.0" encoding="utf-8"?>
<sst xmlns="http://schemas.openxmlformats.org/spreadsheetml/2006/main" count="9" uniqueCount="9">
  <si>
    <t>OR</t>
    <phoneticPr fontId="1" type="noConversion"/>
  </si>
  <si>
    <t>SR</t>
    <phoneticPr fontId="1" type="noConversion"/>
  </si>
  <si>
    <t>pillar</t>
    <phoneticPr fontId="1" type="noConversion"/>
  </si>
  <si>
    <t>via</t>
    <phoneticPr fontId="1" type="noConversion"/>
  </si>
  <si>
    <t>index</t>
    <phoneticPr fontId="1" type="noConversion"/>
  </si>
  <si>
    <t>via data</t>
    <phoneticPr fontId="1" type="noConversion"/>
  </si>
  <si>
    <t>pillar data</t>
    <phoneticPr fontId="1" type="noConversion"/>
  </si>
  <si>
    <t>via (nm)</t>
    <phoneticPr fontId="1" type="noConversion"/>
  </si>
  <si>
    <t>pillar (nm)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</si>
</sst>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工作表1!$L$3:$L$18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工作表1!$M$3:$M$18</c:f>
              <c:numCache>
                <c:formatCode>General</c:formatCode>
                <c:ptCount val="16"/>
                <c:pt idx="0">
                  <c:v>1.5811347080597371</c:v>
                </c:pt>
                <c:pt idx="1">
                  <c:v>1.5747500055201629</c:v>
                </c:pt>
                <c:pt idx="2">
                  <c:v>1.5619321569491464</c:v>
                </c:pt>
                <c:pt idx="3">
                  <c:v>1.5811718975228581</c:v>
                </c:pt>
                <c:pt idx="4">
                  <c:v>1.5771313169439698</c:v>
                </c:pt>
                <c:pt idx="5">
                  <c:v>1.5593357851047391</c:v>
                </c:pt>
                <c:pt idx="6">
                  <c:v>1.5639050915681991</c:v>
                </c:pt>
                <c:pt idx="7">
                  <c:v>1.5612909572568616</c:v>
                </c:pt>
                <c:pt idx="8">
                  <c:v>1.5807742673611704</c:v>
                </c:pt>
                <c:pt idx="9">
                  <c:v>1.570281614863694</c:v>
                </c:pt>
                <c:pt idx="10">
                  <c:v>1.5580017400431518</c:v>
                </c:pt>
                <c:pt idx="11">
                  <c:v>1.5818777473059411</c:v>
                </c:pt>
                <c:pt idx="12">
                  <c:v>1.5755403814636335</c:v>
                </c:pt>
                <c:pt idx="13">
                  <c:v>1.5661794881297906</c:v>
                </c:pt>
                <c:pt idx="14">
                  <c:v>1.5566546216359149</c:v>
                </c:pt>
                <c:pt idx="15">
                  <c:v>1.5613826487100364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5F-4A99-8DC0-A5167F7D3B6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工作表1!$L$3:$L$18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工作表1!$O$3:$O$18</c:f>
              <c:numCache>
                <c:formatCode>General</c:formatCode>
                <c:ptCount val="16"/>
                <c:pt idx="0">
                  <c:v>1.6419409773361462</c:v>
                </c:pt>
                <c:pt idx="1">
                  <c:v>1.630694514232556</c:v>
                </c:pt>
                <c:pt idx="2">
                  <c:v>1.6214526951532646</c:v>
                </c:pt>
                <c:pt idx="3">
                  <c:v>1.6199542373350149</c:v>
                </c:pt>
                <c:pt idx="4">
                  <c:v>1.6282222138505573</c:v>
                </c:pt>
                <c:pt idx="5">
                  <c:v>1.6179680106986438</c:v>
                </c:pt>
                <c:pt idx="6">
                  <c:v>1.6315383998834894</c:v>
                </c:pt>
                <c:pt idx="7">
                  <c:v>1.6245201311700785</c:v>
                </c:pt>
                <c:pt idx="8">
                  <c:v>1.6229495452719049</c:v>
                </c:pt>
                <c:pt idx="9">
                  <c:v>1.6230433764272356</c:v>
                </c:pt>
                <c:pt idx="10">
                  <c:v>1.634106476743471</c:v>
                </c:pt>
                <c:pt idx="11">
                  <c:v>1.6249303006362692</c:v>
                </c:pt>
                <c:pt idx="12">
                  <c:v>1.6307750822575675</c:v>
                </c:pt>
                <c:pt idx="13">
                  <c:v>1.6266635598967809</c:v>
                </c:pt>
                <c:pt idx="14">
                  <c:v>1.6072534596754173</c:v>
                </c:pt>
                <c:pt idx="15">
                  <c:v>1.6141847181876419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5F-4A99-8DC0-A5167F7D3B6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工作表1!$L$3:$L$18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工作表1!$Q$3:$Q$18</c:f>
              <c:numCache>
                <c:formatCode>General</c:formatCode>
                <c:ptCount val="16"/>
                <c:pt idx="0">
                  <c:v>1.6518720702060252</c:v>
                </c:pt>
                <c:pt idx="1">
                  <c:v>1.6460263374707242</c:v>
                </c:pt>
                <c:pt idx="2">
                  <c:v>1.6451194470115447</c:v>
                </c:pt>
                <c:pt idx="3">
                  <c:v>1.6442089794470882</c:v>
                </c:pt>
                <c:pt idx="4">
                  <c:v>1.6436772385357807</c:v>
                </c:pt>
                <c:pt idx="5">
                  <c:v>1.6401513851290124</c:v>
                </c:pt>
                <c:pt idx="6">
                  <c:v>1.6382370443866603</c:v>
                </c:pt>
                <c:pt idx="7">
                  <c:v>1.6337539901289009</c:v>
                </c:pt>
                <c:pt idx="8">
                  <c:v>1.6514351256741955</c:v>
                </c:pt>
                <c:pt idx="9">
                  <c:v>1.6419336063795635</c:v>
                </c:pt>
                <c:pt idx="10">
                  <c:v>1.6421962568395085</c:v>
                </c:pt>
                <c:pt idx="11">
                  <c:v>1.6386648938393631</c:v>
                </c:pt>
                <c:pt idx="12">
                  <c:v>1.6514418623559288</c:v>
                </c:pt>
                <c:pt idx="13">
                  <c:v>1.6379080141590678</c:v>
                </c:pt>
                <c:pt idx="14">
                  <c:v>1.6365350915943666</c:v>
                </c:pt>
                <c:pt idx="15">
                  <c:v>1.6340582367318401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5F-4A99-8DC0-A5167F7D3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274240"/>
        <c:axId val="288275904"/>
      </c:scatterChart>
      <c:valAx>
        <c:axId val="28827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8275904"/>
        <c:crosses val="autoZero"/>
        <c:crossBetween val="midCat"/>
      </c:valAx>
      <c:valAx>
        <c:axId val="2882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827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via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'SEM data'!$Q$3:$Q$38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'SEM data'!$R$3:$R$38</c:f>
              <c:numCache>
                <c:formatCode>General</c:formatCode>
                <c:ptCount val="36"/>
                <c:pt idx="0">
                  <c:v>1651.8720702060252</c:v>
                </c:pt>
                <c:pt idx="1">
                  <c:v>1646.0263374707242</c:v>
                </c:pt>
                <c:pt idx="2">
                  <c:v>1645.1194470115447</c:v>
                </c:pt>
                <c:pt idx="3">
                  <c:v>1644.2089794470883</c:v>
                </c:pt>
                <c:pt idx="4">
                  <c:v>1652.9706600724305</c:v>
                </c:pt>
                <c:pt idx="5">
                  <c:v>1645.7375372549755</c:v>
                </c:pt>
                <c:pt idx="6">
                  <c:v>1643.6772385357808</c:v>
                </c:pt>
                <c:pt idx="7">
                  <c:v>1640.1513851290124</c:v>
                </c:pt>
                <c:pt idx="8">
                  <c:v>1638.2370443866603</c:v>
                </c:pt>
                <c:pt idx="9">
                  <c:v>1633.7539901289008</c:v>
                </c:pt>
                <c:pt idx="10">
                  <c:v>1639.2290120784523</c:v>
                </c:pt>
                <c:pt idx="11">
                  <c:v>1637.9805546285486</c:v>
                </c:pt>
                <c:pt idx="12">
                  <c:v>1651.4351256741954</c:v>
                </c:pt>
                <c:pt idx="13">
                  <c:v>1641.9336063795636</c:v>
                </c:pt>
                <c:pt idx="14">
                  <c:v>1642.1962568395086</c:v>
                </c:pt>
                <c:pt idx="15">
                  <c:v>1638.664893839363</c:v>
                </c:pt>
                <c:pt idx="16">
                  <c:v>1646.1229499485892</c:v>
                </c:pt>
                <c:pt idx="17">
                  <c:v>1644.2321077623199</c:v>
                </c:pt>
                <c:pt idx="18">
                  <c:v>1651.4418623559288</c:v>
                </c:pt>
                <c:pt idx="19">
                  <c:v>1637.9080141590678</c:v>
                </c:pt>
                <c:pt idx="20">
                  <c:v>1636.5350915943666</c:v>
                </c:pt>
                <c:pt idx="21">
                  <c:v>1634.0582367318402</c:v>
                </c:pt>
                <c:pt idx="22">
                  <c:v>1641.8870370353136</c:v>
                </c:pt>
                <c:pt idx="23">
                  <c:v>1644.094099214577</c:v>
                </c:pt>
                <c:pt idx="24">
                  <c:v>1642.9783819524844</c:v>
                </c:pt>
                <c:pt idx="25">
                  <c:v>1639.5919701782159</c:v>
                </c:pt>
                <c:pt idx="26">
                  <c:v>1644.2969630661787</c:v>
                </c:pt>
                <c:pt idx="27">
                  <c:v>1633.2698642401108</c:v>
                </c:pt>
                <c:pt idx="28">
                  <c:v>1645.7055480573181</c:v>
                </c:pt>
                <c:pt idx="29">
                  <c:v>1643.5556551406125</c:v>
                </c:pt>
                <c:pt idx="30">
                  <c:v>1640.9503605449338</c:v>
                </c:pt>
                <c:pt idx="31">
                  <c:v>1640.8664097109063</c:v>
                </c:pt>
                <c:pt idx="32">
                  <c:v>1636.9823626153047</c:v>
                </c:pt>
                <c:pt idx="33">
                  <c:v>1637.1373517807335</c:v>
                </c:pt>
                <c:pt idx="34">
                  <c:v>1642.969190620481</c:v>
                </c:pt>
                <c:pt idx="35">
                  <c:v>1634.1736788831083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36-4388-BC88-9E5AFA998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428704"/>
        <c:axId val="607422048"/>
      </c:scatterChart>
      <c:valAx>
        <c:axId val="60742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07422048"/>
        <c:crosses val="autoZero"/>
        <c:crossBetween val="midCat"/>
      </c:valAx>
      <c:valAx>
        <c:axId val="6074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0742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323850</xdr:colOff>
      <xdr:row>3</xdr:row>
      <xdr:rowOff>9525</xdr:rowOff>
    </xdr:from>
    <xdr:to>
      <xdr:col>24</xdr:col>
      <xdr:colOff>95250</xdr:colOff>
      <xdr:row>16</xdr:row>
      <xdr:rowOff>28575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3BA31EC-88B5-41F6-91C0-112CB2D40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19</xdr:row>
      <xdr:rowOff>152400</xdr:rowOff>
    </xdr:from>
    <xdr:to>
      <xdr:col>8</xdr:col>
      <xdr:colOff>571500</xdr:colOff>
      <xdr:row>32</xdr:row>
      <xdr:rowOff>171450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273E46F-BB11-458D-8D33-BBC1F2F06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1704-A6A2-403E-B563-742A3F014F7A}">
  <dimension ref="A3:AC75"/>
  <sheetViews>
    <sheetView topLeftCell="F1" workbookViewId="0">
      <selection activeCell="J3" sqref="J3"/>
    </sheetView>
  </sheetViews>
  <sheetFormatPr defaultRowHeight="16.5" x14ac:dyDescent="0.25"/>
  <sheetData>
    <row r="3" spans="1:17" x14ac:dyDescent="0.25">
      <c r="A3">
        <v>42.560810960004403</v>
      </c>
      <c r="B3">
        <v>490.68724422319599</v>
      </c>
      <c r="C3">
        <v>675.72639272037895</v>
      </c>
      <c r="E3" s="1">
        <v>42.733370488101002</v>
      </c>
      <c r="F3">
        <f>E3*37</f>
        <v>1581.134708059737</v>
      </c>
      <c r="G3" s="1">
        <v>44.376783171247197</v>
      </c>
      <c r="H3">
        <f>G3*37</f>
        <v>1641.9409773361463</v>
      </c>
      <c r="I3" s="1">
        <v>140.10789399542199</v>
      </c>
      <c r="J3">
        <f>I3*11.79</f>
        <v>1651.8720702060252</v>
      </c>
      <c r="K3">
        <f>J3/37</f>
        <v>44.645191086649334</v>
      </c>
      <c r="L3">
        <v>1</v>
      </c>
      <c r="M3">
        <f>F3/1000</f>
        <v>1.5811347080597371</v>
      </c>
      <c r="N3">
        <f>Q3-M3</f>
        <v>7.0737362146288119E-2</v>
      </c>
      <c r="O3">
        <f>H3/1000</f>
        <v>1.6419409773361462</v>
      </c>
      <c r="P3">
        <f>Q3-O3</f>
        <v>9.9310928698790324E-3</v>
      </c>
      <c r="Q3">
        <f>J3/1000</f>
        <v>1.6518720702060252</v>
      </c>
    </row>
    <row r="4" spans="1:17" x14ac:dyDescent="0.25">
      <c r="A4">
        <v>42.723628847599201</v>
      </c>
      <c r="B4">
        <v>760.04509974250504</v>
      </c>
      <c r="C4">
        <v>541.109857157075</v>
      </c>
      <c r="E4" s="1">
        <v>42.560810960004403</v>
      </c>
      <c r="F4">
        <f t="shared" ref="F4:F18" si="0">E4*37</f>
        <v>1574.7500055201629</v>
      </c>
      <c r="G4" s="1">
        <v>44.072824708988001</v>
      </c>
      <c r="H4">
        <f>G4*37</f>
        <v>1630.694514232556</v>
      </c>
      <c r="I4" s="1">
        <v>139.61207272864499</v>
      </c>
      <c r="J4">
        <f t="shared" ref="J4:J18" si="1">I4*11.79</f>
        <v>1646.0263374707242</v>
      </c>
      <c r="K4">
        <f t="shared" ref="K4:K18" si="2">J4/37</f>
        <v>44.487198310019572</v>
      </c>
      <c r="L4">
        <v>2</v>
      </c>
      <c r="M4">
        <f t="shared" ref="M4:M18" si="3">F4/1000</f>
        <v>1.5747500055201629</v>
      </c>
      <c r="N4">
        <f t="shared" ref="N4:N18" si="4">Q4-M4</f>
        <v>7.1276331950561378E-2</v>
      </c>
      <c r="O4">
        <f t="shared" ref="O4:O18" si="5">H4/1000</f>
        <v>1.630694514232556</v>
      </c>
      <c r="P4">
        <f t="shared" ref="P4:P18" si="6">Q4-O4</f>
        <v>1.5331823238168285E-2</v>
      </c>
      <c r="Q4">
        <f t="shared" ref="Q4:Q18" si="7">J4/1000</f>
        <v>1.6460263374707242</v>
      </c>
    </row>
    <row r="5" spans="1:17" x14ac:dyDescent="0.25">
      <c r="A5">
        <v>42.582172471990098</v>
      </c>
      <c r="B5">
        <v>894.10214381253797</v>
      </c>
      <c r="C5">
        <v>541.56402162475501</v>
      </c>
      <c r="E5" s="1">
        <v>42.2143826202472</v>
      </c>
      <c r="F5">
        <f t="shared" si="0"/>
        <v>1561.9321569491465</v>
      </c>
      <c r="G5" s="1">
        <v>43.823045814953097</v>
      </c>
      <c r="H5">
        <f>G5*37</f>
        <v>1621.4526951532646</v>
      </c>
      <c r="I5" s="1">
        <v>139.535152418282</v>
      </c>
      <c r="J5">
        <f t="shared" si="1"/>
        <v>1645.1194470115447</v>
      </c>
      <c r="K5">
        <f t="shared" si="2"/>
        <v>44.462687757068778</v>
      </c>
      <c r="L5">
        <v>3</v>
      </c>
      <c r="M5">
        <f t="shared" si="3"/>
        <v>1.5619321569491464</v>
      </c>
      <c r="N5">
        <f t="shared" si="4"/>
        <v>8.3187290062398223E-2</v>
      </c>
      <c r="O5">
        <f t="shared" si="5"/>
        <v>1.6214526951532646</v>
      </c>
      <c r="P5">
        <f t="shared" si="6"/>
        <v>2.3666751858280044E-2</v>
      </c>
      <c r="Q5">
        <f t="shared" si="7"/>
        <v>1.6451194470115447</v>
      </c>
    </row>
    <row r="6" spans="1:17" x14ac:dyDescent="0.25">
      <c r="A6">
        <v>42.625170728215402</v>
      </c>
      <c r="B6">
        <v>625.90205925477096</v>
      </c>
      <c r="C6">
        <v>540.41309672070702</v>
      </c>
      <c r="E6" s="1">
        <v>42.734375608725898</v>
      </c>
      <c r="F6">
        <f t="shared" si="0"/>
        <v>1581.1718975228582</v>
      </c>
      <c r="G6" s="1">
        <v>43.782546955000399</v>
      </c>
      <c r="H6">
        <f>G6*37</f>
        <v>1619.9542373350148</v>
      </c>
      <c r="I6" s="1">
        <v>139.45792870628401</v>
      </c>
      <c r="J6">
        <f t="shared" si="1"/>
        <v>1644.2089794470883</v>
      </c>
      <c r="K6">
        <f t="shared" si="2"/>
        <v>44.43808052559698</v>
      </c>
      <c r="L6">
        <v>4</v>
      </c>
      <c r="M6">
        <f t="shared" si="3"/>
        <v>1.5811718975228581</v>
      </c>
      <c r="N6">
        <f t="shared" si="4"/>
        <v>6.3037081924230076E-2</v>
      </c>
      <c r="O6">
        <f t="shared" si="5"/>
        <v>1.6199542373350149</v>
      </c>
      <c r="P6">
        <f t="shared" si="6"/>
        <v>2.4254742112073346E-2</v>
      </c>
      <c r="Q6">
        <f t="shared" si="7"/>
        <v>1.6442089794470882</v>
      </c>
    </row>
    <row r="7" spans="1:17" x14ac:dyDescent="0.25">
      <c r="A7">
        <v>42.197052898834102</v>
      </c>
      <c r="B7">
        <v>624.64166785510201</v>
      </c>
      <c r="C7">
        <v>944.77649012531299</v>
      </c>
      <c r="E7" s="1">
        <v>42.625170728215402</v>
      </c>
      <c r="F7">
        <f t="shared" si="0"/>
        <v>1577.1313169439698</v>
      </c>
      <c r="G7" s="1">
        <v>44.006005779744797</v>
      </c>
      <c r="H7">
        <f t="shared" ref="H7:H18" si="8">G7*37</f>
        <v>1628.2222138505574</v>
      </c>
      <c r="I7" s="1">
        <v>139.41282769599499</v>
      </c>
      <c r="J7">
        <f t="shared" si="1"/>
        <v>1643.6772385357808</v>
      </c>
      <c r="K7">
        <f t="shared" si="2"/>
        <v>44.423709149615696</v>
      </c>
      <c r="L7">
        <v>5</v>
      </c>
      <c r="M7">
        <f t="shared" si="3"/>
        <v>1.5771313169439698</v>
      </c>
      <c r="N7">
        <f t="shared" si="4"/>
        <v>6.6545921591810941E-2</v>
      </c>
      <c r="O7">
        <f t="shared" si="5"/>
        <v>1.6282222138505573</v>
      </c>
      <c r="P7">
        <f t="shared" si="6"/>
        <v>1.5455024685223417E-2</v>
      </c>
      <c r="Q7">
        <f t="shared" si="7"/>
        <v>1.6436772385357807</v>
      </c>
    </row>
    <row r="8" spans="1:17" x14ac:dyDescent="0.25">
      <c r="A8">
        <v>42.753452629890297</v>
      </c>
      <c r="B8">
        <v>759.67434829298998</v>
      </c>
      <c r="C8">
        <v>944.46024883549103</v>
      </c>
      <c r="E8" s="1">
        <v>42.144210408236198</v>
      </c>
      <c r="F8">
        <f t="shared" si="0"/>
        <v>1559.3357851047392</v>
      </c>
      <c r="G8" s="1">
        <v>43.728865154017399</v>
      </c>
      <c r="H8">
        <f t="shared" si="8"/>
        <v>1617.9680106986439</v>
      </c>
      <c r="I8" s="1">
        <v>139.11377312375001</v>
      </c>
      <c r="J8">
        <f t="shared" si="1"/>
        <v>1640.1513851290124</v>
      </c>
      <c r="K8">
        <f t="shared" si="2"/>
        <v>44.328415814297635</v>
      </c>
      <c r="L8">
        <v>6</v>
      </c>
      <c r="M8">
        <f t="shared" si="3"/>
        <v>1.5593357851047391</v>
      </c>
      <c r="N8">
        <f t="shared" si="4"/>
        <v>8.0815600024273238E-2</v>
      </c>
      <c r="O8">
        <f t="shared" si="5"/>
        <v>1.6179680106986438</v>
      </c>
      <c r="P8">
        <f t="shared" si="6"/>
        <v>2.2183374430368552E-2</v>
      </c>
      <c r="Q8">
        <f t="shared" si="7"/>
        <v>1.6401513851290124</v>
      </c>
    </row>
    <row r="9" spans="1:17" x14ac:dyDescent="0.25">
      <c r="A9">
        <v>42.144210408236198</v>
      </c>
      <c r="B9">
        <v>625.01733148677204</v>
      </c>
      <c r="C9">
        <v>676.15559406052</v>
      </c>
      <c r="E9" s="1">
        <v>42.267705177518899</v>
      </c>
      <c r="F9">
        <f t="shared" si="0"/>
        <v>1563.9050915681992</v>
      </c>
      <c r="G9" s="1">
        <v>44.095632429283498</v>
      </c>
      <c r="H9">
        <f t="shared" si="8"/>
        <v>1631.5383998834893</v>
      </c>
      <c r="I9" s="1">
        <v>138.95140325586601</v>
      </c>
      <c r="J9">
        <f t="shared" si="1"/>
        <v>1638.2370443866603</v>
      </c>
      <c r="K9">
        <f t="shared" si="2"/>
        <v>44.27667687531514</v>
      </c>
      <c r="L9">
        <v>7</v>
      </c>
      <c r="M9">
        <f t="shared" si="3"/>
        <v>1.5639050915681991</v>
      </c>
      <c r="N9">
        <f t="shared" si="4"/>
        <v>7.4331952818461167E-2</v>
      </c>
      <c r="O9">
        <f t="shared" si="5"/>
        <v>1.6315383998834894</v>
      </c>
      <c r="P9">
        <f t="shared" si="6"/>
        <v>6.6986445031709252E-3</v>
      </c>
      <c r="Q9">
        <f t="shared" si="7"/>
        <v>1.6382370443866603</v>
      </c>
    </row>
    <row r="10" spans="1:17" x14ac:dyDescent="0.25">
      <c r="A10">
        <v>42.329175354859203</v>
      </c>
      <c r="B10">
        <v>894.18153235715999</v>
      </c>
      <c r="C10">
        <v>675.948214554419</v>
      </c>
      <c r="E10" s="1">
        <v>42.197052898834102</v>
      </c>
      <c r="F10">
        <f t="shared" si="0"/>
        <v>1561.2909572568617</v>
      </c>
      <c r="G10" s="1">
        <v>43.905949491083199</v>
      </c>
      <c r="H10">
        <f t="shared" si="8"/>
        <v>1624.5201311700785</v>
      </c>
      <c r="I10" s="1">
        <v>138.571161164453</v>
      </c>
      <c r="J10">
        <f t="shared" si="1"/>
        <v>1633.7539901289008</v>
      </c>
      <c r="K10">
        <f t="shared" si="2"/>
        <v>44.155513246727047</v>
      </c>
      <c r="L10">
        <v>8</v>
      </c>
      <c r="M10">
        <f t="shared" si="3"/>
        <v>1.5612909572568616</v>
      </c>
      <c r="N10">
        <f t="shared" si="4"/>
        <v>7.2463032872039257E-2</v>
      </c>
      <c r="O10">
        <f t="shared" si="5"/>
        <v>1.6245201311700785</v>
      </c>
      <c r="P10">
        <f t="shared" si="6"/>
        <v>9.2338589588223385E-3</v>
      </c>
      <c r="Q10">
        <f t="shared" si="7"/>
        <v>1.6337539901289009</v>
      </c>
    </row>
    <row r="11" spans="1:17" x14ac:dyDescent="0.25">
      <c r="A11">
        <v>42.733370488101002</v>
      </c>
      <c r="B11">
        <v>491.25160991270701</v>
      </c>
      <c r="C11">
        <v>540.81277334161405</v>
      </c>
      <c r="E11" s="1">
        <v>42.723628847599201</v>
      </c>
      <c r="F11">
        <f t="shared" si="0"/>
        <v>1580.7742673611704</v>
      </c>
      <c r="G11" s="1">
        <v>43.863501223565002</v>
      </c>
      <c r="H11">
        <f t="shared" si="8"/>
        <v>1622.949545271905</v>
      </c>
      <c r="I11" s="1">
        <v>140.07083339051701</v>
      </c>
      <c r="J11">
        <f t="shared" si="1"/>
        <v>1651.4351256741954</v>
      </c>
      <c r="K11">
        <f t="shared" si="2"/>
        <v>44.633381774978254</v>
      </c>
      <c r="L11">
        <v>9</v>
      </c>
      <c r="M11">
        <f t="shared" si="3"/>
        <v>1.5807742673611704</v>
      </c>
      <c r="N11">
        <f t="shared" si="4"/>
        <v>7.0660858313025043E-2</v>
      </c>
      <c r="O11">
        <f t="shared" si="5"/>
        <v>1.6229495452719049</v>
      </c>
      <c r="P11">
        <f t="shared" si="6"/>
        <v>2.8485580402290545E-2</v>
      </c>
      <c r="Q11">
        <f t="shared" si="7"/>
        <v>1.6514351256741955</v>
      </c>
    </row>
    <row r="12" spans="1:17" x14ac:dyDescent="0.25">
      <c r="A12">
        <v>42.267705177518899</v>
      </c>
      <c r="B12">
        <v>625.29629966198797</v>
      </c>
      <c r="C12">
        <v>810.44439801439603</v>
      </c>
      <c r="E12" s="1">
        <v>42.440043644964703</v>
      </c>
      <c r="F12">
        <f t="shared" si="0"/>
        <v>1570.2816148636939</v>
      </c>
      <c r="G12" s="1">
        <v>43.866037200736102</v>
      </c>
      <c r="H12">
        <f t="shared" si="8"/>
        <v>1623.0433764272357</v>
      </c>
      <c r="I12" s="1">
        <v>139.26493692786801</v>
      </c>
      <c r="J12">
        <f t="shared" si="1"/>
        <v>1641.9336063795636</v>
      </c>
      <c r="K12">
        <f t="shared" si="2"/>
        <v>44.376583956204421</v>
      </c>
      <c r="L12">
        <v>10</v>
      </c>
      <c r="M12">
        <f t="shared" si="3"/>
        <v>1.570281614863694</v>
      </c>
      <c r="N12">
        <f t="shared" si="4"/>
        <v>7.165199151586954E-2</v>
      </c>
      <c r="O12">
        <f t="shared" si="5"/>
        <v>1.6230433764272356</v>
      </c>
      <c r="P12">
        <f t="shared" si="6"/>
        <v>1.8890229952327919E-2</v>
      </c>
      <c r="Q12">
        <f t="shared" si="7"/>
        <v>1.6419336063795635</v>
      </c>
    </row>
    <row r="13" spans="1:17" x14ac:dyDescent="0.25">
      <c r="A13">
        <v>42.199531046217203</v>
      </c>
      <c r="B13">
        <v>893.74018539856104</v>
      </c>
      <c r="C13">
        <v>944.93766050429997</v>
      </c>
      <c r="E13" s="1">
        <v>42.108155136301399</v>
      </c>
      <c r="F13">
        <f t="shared" si="0"/>
        <v>1558.0017400431518</v>
      </c>
      <c r="G13" s="1">
        <v>44.165039911985701</v>
      </c>
      <c r="H13">
        <f t="shared" si="8"/>
        <v>1634.1064767434709</v>
      </c>
      <c r="I13" s="1">
        <v>139.28721432056901</v>
      </c>
      <c r="J13">
        <f t="shared" si="1"/>
        <v>1642.1962568395086</v>
      </c>
      <c r="K13">
        <f t="shared" si="2"/>
        <v>44.383682617284016</v>
      </c>
      <c r="L13">
        <v>11</v>
      </c>
      <c r="M13">
        <f t="shared" si="3"/>
        <v>1.5580017400431518</v>
      </c>
      <c r="N13">
        <f t="shared" si="4"/>
        <v>8.41945167963567E-2</v>
      </c>
      <c r="O13">
        <f t="shared" si="5"/>
        <v>1.634106476743471</v>
      </c>
      <c r="P13">
        <f t="shared" si="6"/>
        <v>8.0897800960375577E-3</v>
      </c>
      <c r="Q13">
        <f t="shared" si="7"/>
        <v>1.6421962568395085</v>
      </c>
    </row>
    <row r="14" spans="1:17" x14ac:dyDescent="0.25">
      <c r="A14">
        <v>42.2143826202472</v>
      </c>
      <c r="B14">
        <v>490.34129056623698</v>
      </c>
      <c r="C14">
        <v>810.247843851928</v>
      </c>
      <c r="E14" s="1">
        <v>42.753452629890297</v>
      </c>
      <c r="F14">
        <f t="shared" si="0"/>
        <v>1581.8777473059411</v>
      </c>
      <c r="G14" s="1">
        <v>43.9170351523316</v>
      </c>
      <c r="H14">
        <f t="shared" si="8"/>
        <v>1624.9303006362693</v>
      </c>
      <c r="I14" s="1">
        <v>138.98769243760501</v>
      </c>
      <c r="J14">
        <f t="shared" si="1"/>
        <v>1638.664893839363</v>
      </c>
      <c r="K14">
        <f t="shared" si="2"/>
        <v>44.288240374036839</v>
      </c>
      <c r="L14">
        <v>12</v>
      </c>
      <c r="M14">
        <f t="shared" si="3"/>
        <v>1.5818777473059411</v>
      </c>
      <c r="N14">
        <f t="shared" si="4"/>
        <v>5.6787146533421984E-2</v>
      </c>
      <c r="O14">
        <f t="shared" si="5"/>
        <v>1.6249303006362692</v>
      </c>
      <c r="P14">
        <f t="shared" si="6"/>
        <v>1.3734593203093892E-2</v>
      </c>
      <c r="Q14">
        <f t="shared" si="7"/>
        <v>1.6386648938393631</v>
      </c>
    </row>
    <row r="15" spans="1:17" x14ac:dyDescent="0.25">
      <c r="A15">
        <v>42.071746530700402</v>
      </c>
      <c r="B15">
        <v>893.49562294257203</v>
      </c>
      <c r="C15">
        <v>811.01255241193405</v>
      </c>
      <c r="E15" s="1">
        <v>42.582172471990098</v>
      </c>
      <c r="F15">
        <f t="shared" si="0"/>
        <v>1575.5403814636336</v>
      </c>
      <c r="G15" s="1">
        <v>44.075002223177499</v>
      </c>
      <c r="H15">
        <f t="shared" si="8"/>
        <v>1630.7750822575674</v>
      </c>
      <c r="I15" s="1">
        <v>140.071404779977</v>
      </c>
      <c r="J15">
        <f t="shared" si="1"/>
        <v>1651.4418623559288</v>
      </c>
      <c r="K15">
        <f t="shared" si="2"/>
        <v>44.633563847457538</v>
      </c>
      <c r="L15">
        <v>13</v>
      </c>
      <c r="M15">
        <f t="shared" si="3"/>
        <v>1.5755403814636335</v>
      </c>
      <c r="N15">
        <f t="shared" si="4"/>
        <v>7.5901480892295314E-2</v>
      </c>
      <c r="O15">
        <f t="shared" si="5"/>
        <v>1.6307750822575675</v>
      </c>
      <c r="P15">
        <f t="shared" si="6"/>
        <v>2.0666780098361315E-2</v>
      </c>
      <c r="Q15">
        <f t="shared" si="7"/>
        <v>1.6514418623559288</v>
      </c>
    </row>
    <row r="16" spans="1:17" x14ac:dyDescent="0.25">
      <c r="A16">
        <v>42.440043644964703</v>
      </c>
      <c r="B16">
        <v>759.11349956614401</v>
      </c>
      <c r="C16">
        <v>675.89437044535498</v>
      </c>
      <c r="E16" s="1">
        <v>42.329175354859203</v>
      </c>
      <c r="F16">
        <f t="shared" si="0"/>
        <v>1566.1794881297906</v>
      </c>
      <c r="G16" s="1">
        <v>43.963879997210299</v>
      </c>
      <c r="H16">
        <f t="shared" si="8"/>
        <v>1626.663559896781</v>
      </c>
      <c r="I16" s="1">
        <v>138.92349568779201</v>
      </c>
      <c r="J16">
        <f t="shared" si="1"/>
        <v>1637.9080141590678</v>
      </c>
      <c r="K16">
        <f t="shared" si="2"/>
        <v>44.26778416646129</v>
      </c>
      <c r="L16">
        <v>14</v>
      </c>
      <c r="M16">
        <f t="shared" si="3"/>
        <v>1.5661794881297906</v>
      </c>
      <c r="N16">
        <f t="shared" si="4"/>
        <v>7.1728526029277262E-2</v>
      </c>
      <c r="O16">
        <f t="shared" si="5"/>
        <v>1.6266635598967809</v>
      </c>
      <c r="P16">
        <f t="shared" si="6"/>
        <v>1.1244454262286929E-2</v>
      </c>
      <c r="Q16">
        <f t="shared" si="7"/>
        <v>1.6379080141590678</v>
      </c>
    </row>
    <row r="17" spans="1:29" x14ac:dyDescent="0.25">
      <c r="A17">
        <v>42.734375608725898</v>
      </c>
      <c r="B17">
        <v>489.73272185252898</v>
      </c>
      <c r="C17">
        <v>945.12563895257699</v>
      </c>
      <c r="E17" s="1">
        <v>42.071746530700402</v>
      </c>
      <c r="F17">
        <f t="shared" si="0"/>
        <v>1556.654621635915</v>
      </c>
      <c r="G17" s="1">
        <v>43.439282693930203</v>
      </c>
      <c r="H17">
        <f t="shared" si="8"/>
        <v>1607.2534596754174</v>
      </c>
      <c r="I17" s="1">
        <v>138.80704763310999</v>
      </c>
      <c r="J17">
        <f t="shared" si="1"/>
        <v>1636.5350915943666</v>
      </c>
      <c r="K17">
        <f t="shared" si="2"/>
        <v>44.230678151199093</v>
      </c>
      <c r="L17">
        <v>15</v>
      </c>
      <c r="M17">
        <f t="shared" si="3"/>
        <v>1.5566546216359149</v>
      </c>
      <c r="N17">
        <f t="shared" si="4"/>
        <v>7.9880469958451661E-2</v>
      </c>
      <c r="O17">
        <f t="shared" si="5"/>
        <v>1.6072534596754173</v>
      </c>
      <c r="P17">
        <f t="shared" si="6"/>
        <v>2.928163191894928E-2</v>
      </c>
      <c r="Q17">
        <f t="shared" si="7"/>
        <v>1.6365350915943666</v>
      </c>
    </row>
    <row r="18" spans="1:29" x14ac:dyDescent="0.25">
      <c r="A18">
        <v>42.108155136301399</v>
      </c>
      <c r="B18">
        <v>759.06707130137204</v>
      </c>
      <c r="C18">
        <v>810.34728494853505</v>
      </c>
      <c r="E18" s="1">
        <v>42.199531046217203</v>
      </c>
      <c r="F18">
        <f t="shared" si="0"/>
        <v>1561.3826487100364</v>
      </c>
      <c r="G18" s="1">
        <v>43.626614005071403</v>
      </c>
      <c r="H18">
        <f t="shared" si="8"/>
        <v>1614.1847181876419</v>
      </c>
      <c r="I18" s="1">
        <v>138.596966643922</v>
      </c>
      <c r="J18">
        <f t="shared" si="1"/>
        <v>1634.0582367318402</v>
      </c>
      <c r="K18">
        <f t="shared" si="2"/>
        <v>44.163736127887574</v>
      </c>
      <c r="L18">
        <v>16</v>
      </c>
      <c r="M18">
        <f t="shared" si="3"/>
        <v>1.5613826487100364</v>
      </c>
      <c r="N18">
        <f t="shared" si="4"/>
        <v>7.2675588021803739E-2</v>
      </c>
      <c r="O18">
        <f t="shared" si="5"/>
        <v>1.6141847181876419</v>
      </c>
      <c r="P18">
        <f t="shared" si="6"/>
        <v>1.9873518544198276E-2</v>
      </c>
      <c r="Q18">
        <f t="shared" si="7"/>
        <v>1.6340582367318401</v>
      </c>
    </row>
    <row r="19" spans="1:29" x14ac:dyDescent="0.25">
      <c r="E19" s="2"/>
    </row>
    <row r="20" spans="1:29" x14ac:dyDescent="0.25">
      <c r="E20" s="2"/>
    </row>
    <row r="22" spans="1:29" x14ac:dyDescent="0.25">
      <c r="E22" t="s">
        <v>0</v>
      </c>
    </row>
    <row r="23" spans="1:29" x14ac:dyDescent="0.25">
      <c r="E23" s="1">
        <v>42.733370488101002</v>
      </c>
      <c r="F23">
        <v>491.25160991270701</v>
      </c>
      <c r="G23">
        <v>540.81277334161405</v>
      </c>
      <c r="H23" s="1">
        <v>42.625170728215402</v>
      </c>
      <c r="I23">
        <v>625.90205925477096</v>
      </c>
      <c r="J23">
        <v>540.41309672070702</v>
      </c>
      <c r="K23" s="1">
        <v>42.723628847599201</v>
      </c>
      <c r="L23">
        <v>760.04509974250504</v>
      </c>
      <c r="M23">
        <v>541.109857157075</v>
      </c>
      <c r="N23" s="1">
        <v>42.582172471990098</v>
      </c>
      <c r="O23">
        <v>894.10214381253797</v>
      </c>
      <c r="P23">
        <v>541.56402162475501</v>
      </c>
      <c r="R23" s="1">
        <v>140.10789399542199</v>
      </c>
      <c r="S23">
        <v>787.73649071598402</v>
      </c>
      <c r="T23">
        <v>196.38988885715901</v>
      </c>
      <c r="U23" s="1">
        <v>139.41282769599499</v>
      </c>
      <c r="V23">
        <v>791.30707465881903</v>
      </c>
      <c r="W23">
        <v>628.26303145823999</v>
      </c>
      <c r="X23" s="1">
        <v>140.07083339051701</v>
      </c>
      <c r="Y23">
        <v>790.95469507033204</v>
      </c>
      <c r="Z23">
        <v>205.07486506605099</v>
      </c>
      <c r="AA23" s="1">
        <v>140.071404779977</v>
      </c>
      <c r="AB23">
        <v>795.40054999364997</v>
      </c>
      <c r="AC23">
        <v>636.66522855263702</v>
      </c>
    </row>
    <row r="24" spans="1:29" x14ac:dyDescent="0.25">
      <c r="E24" s="1">
        <v>42.560810960004403</v>
      </c>
      <c r="F24">
        <v>490.68724422319599</v>
      </c>
      <c r="G24">
        <v>675.72639272037895</v>
      </c>
      <c r="H24" s="1">
        <v>42.144210408236198</v>
      </c>
      <c r="I24">
        <v>625.01733148677204</v>
      </c>
      <c r="J24">
        <v>676.15559406052</v>
      </c>
      <c r="K24" s="1">
        <v>42.440043644964703</v>
      </c>
      <c r="L24">
        <v>759.11349956614401</v>
      </c>
      <c r="M24">
        <v>675.89437044535498</v>
      </c>
      <c r="N24" s="1">
        <v>42.329175354859203</v>
      </c>
      <c r="O24">
        <v>894.18153235715999</v>
      </c>
      <c r="P24">
        <v>675.948214554419</v>
      </c>
      <c r="R24" s="1">
        <v>139.61207272864499</v>
      </c>
      <c r="S24">
        <v>356.12130570568303</v>
      </c>
      <c r="T24">
        <v>201.28598961189499</v>
      </c>
      <c r="U24" s="1">
        <v>139.11377312375001</v>
      </c>
      <c r="V24">
        <v>360.31640784616002</v>
      </c>
      <c r="W24">
        <v>633.42076055622397</v>
      </c>
      <c r="X24" s="1">
        <v>139.26493692786801</v>
      </c>
      <c r="Y24">
        <v>358.95119831708701</v>
      </c>
      <c r="Z24">
        <v>208.54484319300801</v>
      </c>
      <c r="AA24" s="1">
        <v>138.92349568779201</v>
      </c>
      <c r="AB24">
        <v>362.98969661945802</v>
      </c>
      <c r="AC24">
        <v>641.05648984974198</v>
      </c>
    </row>
    <row r="25" spans="1:29" x14ac:dyDescent="0.25">
      <c r="E25" s="1">
        <v>42.2143826202472</v>
      </c>
      <c r="F25">
        <v>490.34129056623698</v>
      </c>
      <c r="G25">
        <v>810.247843851928</v>
      </c>
      <c r="H25" s="1">
        <v>42.267705177518899</v>
      </c>
      <c r="I25">
        <v>625.29629966198797</v>
      </c>
      <c r="J25">
        <v>810.44439801439603</v>
      </c>
      <c r="K25" s="1">
        <v>42.108155136301399</v>
      </c>
      <c r="L25">
        <v>759.06707130137204</v>
      </c>
      <c r="M25">
        <v>810.34728494853505</v>
      </c>
      <c r="N25" s="1">
        <v>42.071746530700402</v>
      </c>
      <c r="O25">
        <v>893.49562294257203</v>
      </c>
      <c r="P25">
        <v>811.01255241193405</v>
      </c>
      <c r="R25" s="1">
        <v>139.535152418282</v>
      </c>
      <c r="S25">
        <v>817.18154027672495</v>
      </c>
      <c r="T25">
        <v>202.820636906971</v>
      </c>
      <c r="U25" s="1">
        <v>138.95140325586601</v>
      </c>
      <c r="V25">
        <v>821.32956681820701</v>
      </c>
      <c r="W25">
        <v>634.31435413483405</v>
      </c>
      <c r="X25" s="1">
        <v>139.28721432056901</v>
      </c>
      <c r="Y25">
        <v>807.63509123281597</v>
      </c>
      <c r="Z25">
        <v>200.64629433400901</v>
      </c>
      <c r="AA25" s="1">
        <v>138.80704763310999</v>
      </c>
      <c r="AB25">
        <v>811.03616654978998</v>
      </c>
      <c r="AC25">
        <v>632.78773724742302</v>
      </c>
    </row>
    <row r="26" spans="1:29" x14ac:dyDescent="0.25">
      <c r="E26" s="1">
        <v>42.734375608725898</v>
      </c>
      <c r="F26">
        <v>489.73272185252898</v>
      </c>
      <c r="G26">
        <v>945.12563895257699</v>
      </c>
      <c r="H26" s="1">
        <v>42.197052898834102</v>
      </c>
      <c r="I26">
        <v>624.64166785510201</v>
      </c>
      <c r="J26">
        <v>944.77649012531299</v>
      </c>
      <c r="K26" s="1">
        <v>42.753452629890297</v>
      </c>
      <c r="L26">
        <v>759.67434829298998</v>
      </c>
      <c r="M26">
        <v>944.46024883549103</v>
      </c>
      <c r="N26" s="1">
        <v>42.199531046217203</v>
      </c>
      <c r="O26">
        <v>893.74018539856104</v>
      </c>
      <c r="P26">
        <v>944.93766050429997</v>
      </c>
      <c r="R26" s="1">
        <v>139.45792870628401</v>
      </c>
      <c r="S26">
        <v>387.031993732307</v>
      </c>
      <c r="T26">
        <v>205.20333464106201</v>
      </c>
      <c r="U26" s="1">
        <v>138.571161164453</v>
      </c>
      <c r="V26">
        <v>390.09115822838697</v>
      </c>
      <c r="W26">
        <v>636.48533047475405</v>
      </c>
      <c r="X26" s="1">
        <v>138.98769243760501</v>
      </c>
      <c r="Y26">
        <v>377.76120067130501</v>
      </c>
      <c r="Z26">
        <v>202.304892062552</v>
      </c>
      <c r="AA26" s="1">
        <v>138.596966643922</v>
      </c>
      <c r="AB26">
        <v>380.137387214233</v>
      </c>
      <c r="AC26">
        <v>635.950850329074</v>
      </c>
    </row>
    <row r="27" spans="1:29" x14ac:dyDescent="0.25">
      <c r="X27" s="1"/>
    </row>
    <row r="28" spans="1:29" x14ac:dyDescent="0.25">
      <c r="E28" t="s">
        <v>1</v>
      </c>
    </row>
    <row r="29" spans="1:29" x14ac:dyDescent="0.25">
      <c r="E29" s="1">
        <v>42.888688208498202</v>
      </c>
      <c r="F29">
        <v>490.92447551544097</v>
      </c>
      <c r="G29">
        <v>541.48794049568005</v>
      </c>
      <c r="H29" s="1">
        <v>42.7822804349357</v>
      </c>
      <c r="I29">
        <v>625.49599962536399</v>
      </c>
      <c r="J29">
        <v>540.95626306868905</v>
      </c>
      <c r="K29" s="1">
        <v>43.0032257279871</v>
      </c>
      <c r="L29">
        <v>759.95788402318101</v>
      </c>
      <c r="M29">
        <v>541.60419374134301</v>
      </c>
      <c r="N29" s="1">
        <v>43.026106880275798</v>
      </c>
      <c r="O29">
        <v>894.36506306182901</v>
      </c>
      <c r="P29">
        <v>541.31706296260995</v>
      </c>
    </row>
    <row r="30" spans="1:29" x14ac:dyDescent="0.25">
      <c r="E30" s="1">
        <v>42.823580965917401</v>
      </c>
      <c r="F30">
        <v>491.15767828967603</v>
      </c>
      <c r="G30">
        <v>675.89619451422698</v>
      </c>
      <c r="H30" s="1">
        <v>42.734078740410901</v>
      </c>
      <c r="I30">
        <v>625.81466371428405</v>
      </c>
      <c r="J30">
        <v>676.04517320951902</v>
      </c>
      <c r="K30" s="1">
        <v>42.7360022827921</v>
      </c>
      <c r="L30">
        <v>759.56013962511997</v>
      </c>
      <c r="M30">
        <v>675.87920248288697</v>
      </c>
      <c r="N30" s="1">
        <v>42.770919812295901</v>
      </c>
      <c r="O30">
        <v>894.06736256567899</v>
      </c>
      <c r="P30">
        <v>676.35995680339795</v>
      </c>
    </row>
    <row r="31" spans="1:29" x14ac:dyDescent="0.25">
      <c r="E31" s="1">
        <v>42.763004576862798</v>
      </c>
      <c r="F31">
        <v>490.39008235223599</v>
      </c>
      <c r="G31">
        <v>810.15068276809802</v>
      </c>
      <c r="H31" s="1">
        <v>42.820770439010303</v>
      </c>
      <c r="I31">
        <v>624.98065540156904</v>
      </c>
      <c r="J31">
        <v>810.03678644665797</v>
      </c>
      <c r="K31" s="1">
        <v>42.663701589719103</v>
      </c>
      <c r="L31">
        <v>759.58341039613595</v>
      </c>
      <c r="M31">
        <v>810.64286763499899</v>
      </c>
      <c r="N31" s="1">
        <v>42.481506634017599</v>
      </c>
      <c r="O31">
        <v>893.90938038220804</v>
      </c>
      <c r="P31">
        <v>809.92237177419599</v>
      </c>
    </row>
    <row r="32" spans="1:29" x14ac:dyDescent="0.25">
      <c r="E32" s="1">
        <v>42.7141436935526</v>
      </c>
      <c r="F32">
        <v>490.449050390401</v>
      </c>
      <c r="G32">
        <v>944.89892070511996</v>
      </c>
      <c r="H32" s="1">
        <v>42.688074294621003</v>
      </c>
      <c r="I32">
        <v>625.23244021713799</v>
      </c>
      <c r="J32">
        <v>945.37195960925203</v>
      </c>
      <c r="K32" s="1">
        <v>42.472084570342602</v>
      </c>
      <c r="L32">
        <v>760.17052282643499</v>
      </c>
      <c r="M32">
        <v>944.84004801024298</v>
      </c>
      <c r="N32" s="1">
        <v>42.328904230803303</v>
      </c>
      <c r="O32">
        <v>893.74203406531205</v>
      </c>
      <c r="P32">
        <v>944.91043338522297</v>
      </c>
    </row>
    <row r="36" spans="5:29" x14ac:dyDescent="0.25">
      <c r="E36" s="1">
        <v>43.192127061588103</v>
      </c>
      <c r="F36">
        <v>490.61789134344002</v>
      </c>
      <c r="G36">
        <v>541.05267743536399</v>
      </c>
      <c r="H36" s="1">
        <v>42.932115090407002</v>
      </c>
      <c r="I36">
        <v>625.03624681820895</v>
      </c>
      <c r="J36">
        <v>541.272724056181</v>
      </c>
      <c r="K36" s="1">
        <v>42.9610550002145</v>
      </c>
      <c r="L36">
        <v>759.71093174149905</v>
      </c>
      <c r="M36">
        <v>541.37468364744905</v>
      </c>
      <c r="N36" s="1">
        <v>42.858529477078598</v>
      </c>
      <c r="O36">
        <v>893.65978843204402</v>
      </c>
      <c r="P36">
        <v>541.385482498584</v>
      </c>
    </row>
    <row r="37" spans="5:29" x14ac:dyDescent="0.25">
      <c r="E37" s="1">
        <v>43.073589614103803</v>
      </c>
      <c r="F37">
        <v>491.32528068661202</v>
      </c>
      <c r="G37">
        <v>675.91302660358394</v>
      </c>
      <c r="H37" s="1">
        <v>42.667981875475299</v>
      </c>
      <c r="I37">
        <v>625.68836251945299</v>
      </c>
      <c r="J37">
        <v>675.77925238373496</v>
      </c>
      <c r="K37" s="1">
        <v>42.867225313516798</v>
      </c>
      <c r="L37">
        <v>759.55975865116102</v>
      </c>
      <c r="M37">
        <v>676.647886895689</v>
      </c>
      <c r="N37" s="1">
        <v>42.697412178825601</v>
      </c>
      <c r="O37">
        <v>894.02656158814898</v>
      </c>
      <c r="P37">
        <v>676.73221805086996</v>
      </c>
    </row>
    <row r="38" spans="5:29" x14ac:dyDescent="0.25">
      <c r="E38" s="1">
        <v>42.785288191237697</v>
      </c>
      <c r="F38">
        <v>490.45391763372902</v>
      </c>
      <c r="G38">
        <v>810.43220262264401</v>
      </c>
      <c r="H38" s="1">
        <v>42.625408168342801</v>
      </c>
      <c r="I38">
        <v>624.86546145459101</v>
      </c>
      <c r="J38">
        <v>810.52463226216605</v>
      </c>
      <c r="K38" s="1">
        <v>42.885918125788599</v>
      </c>
      <c r="L38">
        <v>759.68485890071997</v>
      </c>
      <c r="M38">
        <v>810.89209122562602</v>
      </c>
      <c r="N38" s="1">
        <v>42.6864660549356</v>
      </c>
      <c r="O38">
        <v>893.91706057411295</v>
      </c>
      <c r="P38">
        <v>810.93273440900703</v>
      </c>
    </row>
    <row r="39" spans="5:29" x14ac:dyDescent="0.25">
      <c r="E39" s="1">
        <v>42.7504775939437</v>
      </c>
      <c r="F39">
        <v>490.09021728966798</v>
      </c>
      <c r="G39">
        <v>944.66339838921203</v>
      </c>
      <c r="H39" s="1">
        <v>42.758020133759999</v>
      </c>
      <c r="I39">
        <v>625.44574133061406</v>
      </c>
      <c r="J39">
        <v>945.09177666073197</v>
      </c>
      <c r="K39" s="1">
        <v>42.626601576945603</v>
      </c>
      <c r="L39">
        <v>760.05191113562103</v>
      </c>
      <c r="M39">
        <v>945.38976402308697</v>
      </c>
      <c r="N39" s="1">
        <v>42.543619430621703</v>
      </c>
      <c r="O39">
        <v>893.71291563150896</v>
      </c>
      <c r="P39">
        <v>945.88169940016905</v>
      </c>
    </row>
    <row r="44" spans="5:29" x14ac:dyDescent="0.25">
      <c r="E44" s="1">
        <v>44.376783171247197</v>
      </c>
      <c r="F44">
        <v>490.377398005435</v>
      </c>
      <c r="G44">
        <v>541.23001459590103</v>
      </c>
      <c r="H44" s="1">
        <v>44.006005779744797</v>
      </c>
      <c r="I44">
        <v>624.80062786983603</v>
      </c>
      <c r="J44">
        <v>541.38213661179896</v>
      </c>
      <c r="K44" s="1">
        <v>43.863501223565002</v>
      </c>
      <c r="L44">
        <v>759.63926522911504</v>
      </c>
      <c r="M44">
        <v>541.252377295202</v>
      </c>
      <c r="N44" s="1">
        <v>44.075002223177499</v>
      </c>
      <c r="O44">
        <v>893.16222483594402</v>
      </c>
      <c r="P44">
        <v>541.74656934569703</v>
      </c>
      <c r="R44">
        <v>44.775631747854199</v>
      </c>
      <c r="S44">
        <v>491.03314565245603</v>
      </c>
      <c r="T44">
        <v>541.53227904531798</v>
      </c>
      <c r="U44">
        <v>44.828721627619103</v>
      </c>
      <c r="V44">
        <v>625.53145445747305</v>
      </c>
      <c r="W44">
        <v>541.15154236461899</v>
      </c>
      <c r="X44">
        <v>44.543397134866701</v>
      </c>
      <c r="Y44">
        <v>760.24993957891002</v>
      </c>
      <c r="Z44">
        <v>541.60574412466599</v>
      </c>
      <c r="AA44">
        <v>44.656528955678503</v>
      </c>
      <c r="AB44">
        <v>894.15807596816296</v>
      </c>
      <c r="AC44">
        <v>541.29949749013497</v>
      </c>
    </row>
    <row r="45" spans="5:29" x14ac:dyDescent="0.25">
      <c r="E45" s="1">
        <v>44.072824708988001</v>
      </c>
      <c r="F45">
        <v>490.77458625558302</v>
      </c>
      <c r="G45">
        <v>676.15068156651103</v>
      </c>
      <c r="H45" s="1">
        <v>43.728865154017399</v>
      </c>
      <c r="I45">
        <v>625.36553930088496</v>
      </c>
      <c r="J45">
        <v>676.24154228615998</v>
      </c>
      <c r="K45" s="1">
        <v>43.866037200736102</v>
      </c>
      <c r="L45">
        <v>759.06778537046705</v>
      </c>
      <c r="M45">
        <v>676.745996600235</v>
      </c>
      <c r="N45" s="1">
        <v>43.963879997210299</v>
      </c>
      <c r="O45">
        <v>893.61431372807999</v>
      </c>
      <c r="P45">
        <v>676.866662177237</v>
      </c>
      <c r="R45">
        <v>44.467882701025701</v>
      </c>
      <c r="S45">
        <v>491.151394399315</v>
      </c>
      <c r="T45">
        <v>676.28291962627497</v>
      </c>
      <c r="U45">
        <v>44.2719159479852</v>
      </c>
      <c r="V45">
        <v>625.66055434062298</v>
      </c>
      <c r="W45">
        <v>676.102917281842</v>
      </c>
      <c r="X45">
        <v>44.409883107183902</v>
      </c>
      <c r="Y45">
        <v>759.91880555303703</v>
      </c>
      <c r="Z45">
        <v>676.48950758450701</v>
      </c>
      <c r="AA45">
        <v>44.314707043027298</v>
      </c>
      <c r="AB45">
        <v>894.03498568278803</v>
      </c>
      <c r="AC45">
        <v>676.61012035932197</v>
      </c>
    </row>
    <row r="46" spans="5:29" x14ac:dyDescent="0.25">
      <c r="E46" s="1">
        <v>43.823045814953097</v>
      </c>
      <c r="F46">
        <v>489.651987101278</v>
      </c>
      <c r="G46">
        <v>810.58241873092902</v>
      </c>
      <c r="H46" s="1">
        <v>44.095632429283498</v>
      </c>
      <c r="I46">
        <v>624.87839116343696</v>
      </c>
      <c r="J46">
        <v>810.71805165386695</v>
      </c>
      <c r="K46" s="1">
        <v>44.165039911985701</v>
      </c>
      <c r="L46">
        <v>759.61646847978204</v>
      </c>
      <c r="M46">
        <v>810.97630902021604</v>
      </c>
      <c r="N46" s="1">
        <v>43.439282693930203</v>
      </c>
      <c r="O46">
        <v>893.37620297286196</v>
      </c>
      <c r="P46">
        <v>810.82342161678901</v>
      </c>
      <c r="R46">
        <v>44.420048901870899</v>
      </c>
      <c r="S46">
        <v>489.65130788868998</v>
      </c>
      <c r="T46">
        <v>810.30881078809398</v>
      </c>
      <c r="U46">
        <v>44.385732379381302</v>
      </c>
      <c r="V46">
        <v>625.08081998776004</v>
      </c>
      <c r="W46">
        <v>810.94923541011894</v>
      </c>
      <c r="X46">
        <v>44.31967680636</v>
      </c>
      <c r="Y46">
        <v>759.309646566727</v>
      </c>
      <c r="Z46">
        <v>811.14202562791797</v>
      </c>
      <c r="AA46">
        <v>44.036342753846</v>
      </c>
      <c r="AB46">
        <v>893.52028032449095</v>
      </c>
      <c r="AC46">
        <v>810.89715310754104</v>
      </c>
    </row>
    <row r="47" spans="5:29" x14ac:dyDescent="0.25">
      <c r="E47" s="1">
        <v>43.782546955000399</v>
      </c>
      <c r="F47">
        <v>490.05431757638001</v>
      </c>
      <c r="G47">
        <v>944.87084204085295</v>
      </c>
      <c r="H47" s="1">
        <v>43.905949491083199</v>
      </c>
      <c r="I47">
        <v>625.49393238795005</v>
      </c>
      <c r="J47">
        <v>945.28956065250702</v>
      </c>
      <c r="K47" s="1">
        <v>43.9170351523316</v>
      </c>
      <c r="L47">
        <v>759.88837892741105</v>
      </c>
      <c r="M47">
        <v>944.95215680391402</v>
      </c>
      <c r="N47" s="1">
        <v>43.626614005071403</v>
      </c>
      <c r="O47">
        <v>893.56246824548305</v>
      </c>
      <c r="P47">
        <v>945.63579095591695</v>
      </c>
      <c r="R47">
        <v>44.539814921954402</v>
      </c>
      <c r="S47">
        <v>490.87890545787099</v>
      </c>
      <c r="T47">
        <v>944.91267355700995</v>
      </c>
      <c r="U47">
        <v>44.2393215919044</v>
      </c>
      <c r="V47">
        <v>625.46623685128804</v>
      </c>
      <c r="W47">
        <v>944.91239660146198</v>
      </c>
      <c r="X47">
        <v>44.318097797184798</v>
      </c>
      <c r="Y47">
        <v>759.78729753795699</v>
      </c>
      <c r="Z47">
        <v>945.23505018423202</v>
      </c>
      <c r="AA47">
        <v>43.998745582315003</v>
      </c>
      <c r="AB47">
        <v>893.64929874199299</v>
      </c>
      <c r="AC47">
        <v>944.94306797702404</v>
      </c>
    </row>
    <row r="50" spans="5:28" x14ac:dyDescent="0.25">
      <c r="E50">
        <v>45.304403249182798</v>
      </c>
      <c r="F50">
        <v>490.165896809983</v>
      </c>
      <c r="G50">
        <v>540.93779816464598</v>
      </c>
      <c r="H50">
        <v>44.871855533198698</v>
      </c>
      <c r="I50">
        <v>625.00123552380103</v>
      </c>
      <c r="J50">
        <v>540.87315546238403</v>
      </c>
      <c r="K50">
        <v>44.200363297563101</v>
      </c>
      <c r="L50">
        <v>759.52853421452903</v>
      </c>
      <c r="M50">
        <v>540.96152126199195</v>
      </c>
      <c r="N50">
        <v>44.8537369390611</v>
      </c>
      <c r="O50">
        <v>893.55413464424998</v>
      </c>
      <c r="P50">
        <v>541.12979908549698</v>
      </c>
    </row>
    <row r="51" spans="5:28" x14ac:dyDescent="0.25">
      <c r="E51">
        <v>44.530319288838101</v>
      </c>
      <c r="F51">
        <v>490.29209095878201</v>
      </c>
      <c r="G51">
        <v>675.95883442869501</v>
      </c>
      <c r="H51">
        <v>43.904334509920503</v>
      </c>
      <c r="I51">
        <v>624.85378049874896</v>
      </c>
      <c r="J51">
        <v>676.26900421924199</v>
      </c>
      <c r="K51">
        <v>43.907402883527801</v>
      </c>
      <c r="L51">
        <v>759.19230821021995</v>
      </c>
      <c r="M51">
        <v>675.98629002594998</v>
      </c>
      <c r="N51">
        <v>44.3991726818101</v>
      </c>
      <c r="O51">
        <v>893.69990834663304</v>
      </c>
      <c r="P51">
        <v>676.50131086413796</v>
      </c>
      <c r="Z51">
        <v>44.138737421337503</v>
      </c>
      <c r="AA51">
        <v>624.85806192850998</v>
      </c>
      <c r="AB51">
        <v>810.82216559565597</v>
      </c>
    </row>
    <row r="52" spans="5:28" x14ac:dyDescent="0.25">
      <c r="E52">
        <v>44.525825619695702</v>
      </c>
      <c r="F52">
        <v>489.80907315083198</v>
      </c>
      <c r="G52">
        <v>810.70491802984895</v>
      </c>
      <c r="H52">
        <v>44.104550777668301</v>
      </c>
      <c r="I52">
        <v>624.24438073141096</v>
      </c>
      <c r="J52">
        <v>810.35961488938597</v>
      </c>
      <c r="K52">
        <v>44.644059739689602</v>
      </c>
      <c r="L52">
        <v>759.26254585390598</v>
      </c>
      <c r="M52">
        <v>810.92450326457299</v>
      </c>
      <c r="N52">
        <v>44.268715306900503</v>
      </c>
      <c r="O52">
        <v>892.85349272772498</v>
      </c>
      <c r="P52">
        <v>811.03494739006601</v>
      </c>
      <c r="Z52">
        <v>44.383377394457902</v>
      </c>
      <c r="AA52">
        <v>625.12225572272496</v>
      </c>
      <c r="AB52">
        <v>541.29305024537905</v>
      </c>
    </row>
    <row r="53" spans="5:28" x14ac:dyDescent="0.25">
      <c r="N53">
        <v>43.762174386431802</v>
      </c>
      <c r="O53">
        <v>892.54565775970195</v>
      </c>
      <c r="P53">
        <v>944.94987640228703</v>
      </c>
      <c r="Z53">
        <v>44.313562514003898</v>
      </c>
      <c r="AA53">
        <v>490.06665196594798</v>
      </c>
      <c r="AB53">
        <v>944.99642095448701</v>
      </c>
    </row>
    <row r="54" spans="5:28" x14ac:dyDescent="0.25">
      <c r="Z54">
        <v>44.055987857444499</v>
      </c>
      <c r="AA54">
        <v>625.05754736161805</v>
      </c>
      <c r="AB54">
        <v>676.00878369796203</v>
      </c>
    </row>
    <row r="55" spans="5:28" x14ac:dyDescent="0.25">
      <c r="Z55">
        <v>44.151061026708902</v>
      </c>
      <c r="AA55">
        <v>759.40339970666003</v>
      </c>
      <c r="AB55">
        <v>810.75819722515905</v>
      </c>
    </row>
    <row r="56" spans="5:28" x14ac:dyDescent="0.25">
      <c r="Z56">
        <v>44.636529600455397</v>
      </c>
      <c r="AA56">
        <v>490.68996366224798</v>
      </c>
      <c r="AB56">
        <v>541.15305905285095</v>
      </c>
    </row>
    <row r="57" spans="5:28" x14ac:dyDescent="0.25">
      <c r="Z57">
        <v>43.997416564352498</v>
      </c>
      <c r="AA57">
        <v>893.99709137818195</v>
      </c>
      <c r="AB57">
        <v>676.982216552208</v>
      </c>
    </row>
    <row r="58" spans="5:28" x14ac:dyDescent="0.25">
      <c r="Z58">
        <v>44.154077163216797</v>
      </c>
      <c r="AA58">
        <v>624.99146389405996</v>
      </c>
      <c r="AB58">
        <v>945.08422830596305</v>
      </c>
    </row>
    <row r="59" spans="5:28" x14ac:dyDescent="0.25">
      <c r="H59">
        <v>45.304403249182798</v>
      </c>
      <c r="I59">
        <f>H59*37</f>
        <v>1676.2629202197636</v>
      </c>
      <c r="J59">
        <v>44.645191086649334</v>
      </c>
      <c r="K59">
        <f>ABS(H59-J59)</f>
        <v>0.65921216253346415</v>
      </c>
      <c r="N59">
        <v>44.775631747854199</v>
      </c>
      <c r="O59">
        <v>44.645191086649334</v>
      </c>
      <c r="P59">
        <f>ABS(O59-N59)</f>
        <v>0.13044066120486519</v>
      </c>
      <c r="Z59">
        <v>44.420345744922997</v>
      </c>
      <c r="AA59">
        <v>893.990515249954</v>
      </c>
      <c r="AB59">
        <v>541.47432024304703</v>
      </c>
    </row>
    <row r="60" spans="5:28" x14ac:dyDescent="0.25">
      <c r="H60">
        <v>44.530319288838101</v>
      </c>
      <c r="I60">
        <f t="shared" ref="I60:I73" si="9">H60*37</f>
        <v>1647.6218136870098</v>
      </c>
      <c r="J60">
        <v>44.487198310019572</v>
      </c>
      <c r="K60">
        <f>ABS(H60-J60)</f>
        <v>4.3120978818528499E-2</v>
      </c>
      <c r="N60">
        <v>44.467882701025701</v>
      </c>
      <c r="O60">
        <v>44.487198310019572</v>
      </c>
      <c r="P60">
        <f t="shared" ref="P60:P74" si="10">ABS(O60-N60)</f>
        <v>1.9315608993871081E-2</v>
      </c>
      <c r="Z60">
        <v>44.0354461531577</v>
      </c>
      <c r="AA60">
        <v>759.38241863463202</v>
      </c>
      <c r="AB60">
        <v>676.19613984013301</v>
      </c>
    </row>
    <row r="61" spans="5:28" x14ac:dyDescent="0.25">
      <c r="H61">
        <v>44.525825619695702</v>
      </c>
      <c r="I61">
        <f t="shared" si="9"/>
        <v>1647.455547928741</v>
      </c>
      <c r="J61">
        <v>44.462687757068778</v>
      </c>
      <c r="K61">
        <f t="shared" ref="K61:K74" si="11">ABS(H61-J61)</f>
        <v>6.3137862626923891E-2</v>
      </c>
      <c r="N61">
        <v>44.420048901870899</v>
      </c>
      <c r="O61">
        <v>44.462687757068778</v>
      </c>
      <c r="P61">
        <f t="shared" si="10"/>
        <v>4.2638855197878911E-2</v>
      </c>
      <c r="Z61">
        <v>44.123191170968397</v>
      </c>
      <c r="AA61">
        <v>759.16621515144595</v>
      </c>
      <c r="AB61">
        <v>945.19512278854597</v>
      </c>
    </row>
    <row r="62" spans="5:28" x14ac:dyDescent="0.25">
      <c r="I62">
        <f t="shared" si="9"/>
        <v>0</v>
      </c>
      <c r="J62">
        <v>44.43808052559698</v>
      </c>
      <c r="N62">
        <v>44.539814921954402</v>
      </c>
      <c r="O62">
        <v>44.43808052559698</v>
      </c>
      <c r="P62">
        <f t="shared" si="10"/>
        <v>0.10173439635742199</v>
      </c>
      <c r="Z62">
        <v>44.437333123485601</v>
      </c>
      <c r="AA62">
        <v>490.73941768144101</v>
      </c>
      <c r="AB62">
        <v>675.89522839510198</v>
      </c>
    </row>
    <row r="63" spans="5:28" x14ac:dyDescent="0.25">
      <c r="H63">
        <v>44.871855533198698</v>
      </c>
      <c r="I63">
        <f t="shared" si="9"/>
        <v>1660.2586547283518</v>
      </c>
      <c r="J63">
        <v>44.423709149615696</v>
      </c>
      <c r="K63">
        <f t="shared" si="11"/>
        <v>0.4481463835830013</v>
      </c>
      <c r="N63">
        <v>44.828721627619103</v>
      </c>
      <c r="O63">
        <v>44.423709149615696</v>
      </c>
      <c r="P63">
        <f t="shared" si="10"/>
        <v>0.40501247800340678</v>
      </c>
      <c r="Z63">
        <v>44.239184530351402</v>
      </c>
      <c r="AA63">
        <v>759.44938875832895</v>
      </c>
      <c r="AB63">
        <v>540.97377297999196</v>
      </c>
    </row>
    <row r="64" spans="5:28" x14ac:dyDescent="0.25">
      <c r="H64">
        <v>43.904334509920503</v>
      </c>
      <c r="I64">
        <f t="shared" si="9"/>
        <v>1624.4603768670586</v>
      </c>
      <c r="J64">
        <v>44.328415814297635</v>
      </c>
      <c r="K64">
        <f t="shared" si="11"/>
        <v>0.42408130437713254</v>
      </c>
      <c r="N64">
        <v>44.2719159479852</v>
      </c>
      <c r="O64">
        <v>44.328415814297635</v>
      </c>
      <c r="P64">
        <f t="shared" si="10"/>
        <v>5.6499866312435643E-2</v>
      </c>
      <c r="Z64">
        <v>43.9200811956051</v>
      </c>
      <c r="AA64">
        <v>893.82134279861498</v>
      </c>
      <c r="AB64">
        <v>810.91153872681105</v>
      </c>
    </row>
    <row r="65" spans="8:28" x14ac:dyDescent="0.25">
      <c r="H65">
        <v>44.104550777668301</v>
      </c>
      <c r="I65">
        <f t="shared" si="9"/>
        <v>1631.868378773727</v>
      </c>
      <c r="J65">
        <v>44.27667687531514</v>
      </c>
      <c r="K65">
        <f t="shared" si="11"/>
        <v>0.17212609764683862</v>
      </c>
      <c r="N65">
        <v>44.385732379381302</v>
      </c>
      <c r="O65">
        <v>44.27667687531514</v>
      </c>
      <c r="P65">
        <f t="shared" si="10"/>
        <v>0.10905550406616271</v>
      </c>
      <c r="Z65">
        <v>44.221832195428</v>
      </c>
      <c r="AA65">
        <v>490.12079363291099</v>
      </c>
      <c r="AB65">
        <v>810.164862059249</v>
      </c>
    </row>
    <row r="66" spans="8:28" x14ac:dyDescent="0.25">
      <c r="I66">
        <f t="shared" si="9"/>
        <v>0</v>
      </c>
      <c r="J66">
        <v>44.155513246727047</v>
      </c>
      <c r="N66">
        <v>44.2393215919044</v>
      </c>
      <c r="O66">
        <v>44.155513246727047</v>
      </c>
      <c r="P66">
        <f t="shared" si="10"/>
        <v>8.3808345177352805E-2</v>
      </c>
      <c r="Z66">
        <v>43.850139228592397</v>
      </c>
      <c r="AA66">
        <v>893.61157931563901</v>
      </c>
      <c r="AB66">
        <v>945.34403253712196</v>
      </c>
    </row>
    <row r="67" spans="8:28" x14ac:dyDescent="0.25">
      <c r="H67">
        <v>44.200363297563101</v>
      </c>
      <c r="I67">
        <f t="shared" si="9"/>
        <v>1635.4134420098346</v>
      </c>
      <c r="J67">
        <v>44.633381774978254</v>
      </c>
      <c r="K67">
        <f t="shared" si="11"/>
        <v>0.43301847741515331</v>
      </c>
      <c r="N67">
        <v>44.543397134866701</v>
      </c>
      <c r="O67">
        <v>44.633381774978254</v>
      </c>
      <c r="P67">
        <f t="shared" si="10"/>
        <v>8.9984640111552494E-2</v>
      </c>
      <c r="U67">
        <f>AVERAGE(U46:U66)</f>
        <v>44.312526985642847</v>
      </c>
      <c r="Z67">
        <f>AVERAGE(Z51:Z66)</f>
        <v>44.192393930280559</v>
      </c>
    </row>
    <row r="68" spans="8:28" x14ac:dyDescent="0.25">
      <c r="H68">
        <v>43.907402883527801</v>
      </c>
      <c r="I68">
        <f t="shared" si="9"/>
        <v>1624.5739066905287</v>
      </c>
      <c r="J68">
        <v>44.376583956204421</v>
      </c>
      <c r="K68">
        <f t="shared" si="11"/>
        <v>0.46918107267661924</v>
      </c>
      <c r="N68">
        <v>44.409883107183902</v>
      </c>
      <c r="O68">
        <v>44.376583956204421</v>
      </c>
      <c r="P68">
        <f t="shared" si="10"/>
        <v>3.3299150979480885E-2</v>
      </c>
    </row>
    <row r="69" spans="8:28" x14ac:dyDescent="0.25">
      <c r="H69">
        <v>44.644059739689602</v>
      </c>
      <c r="I69">
        <f t="shared" si="9"/>
        <v>1651.8302103685153</v>
      </c>
      <c r="J69">
        <v>44.383682617284016</v>
      </c>
      <c r="K69">
        <f t="shared" si="11"/>
        <v>0.26037712240558619</v>
      </c>
      <c r="N69">
        <v>44.31967680636</v>
      </c>
      <c r="O69">
        <v>44.383682617284016</v>
      </c>
      <c r="P69">
        <f t="shared" si="10"/>
        <v>6.4005810924015805E-2</v>
      </c>
    </row>
    <row r="70" spans="8:28" x14ac:dyDescent="0.25">
      <c r="J70">
        <v>44.288240374036839</v>
      </c>
      <c r="N70">
        <v>44.318097797184798</v>
      </c>
      <c r="O70">
        <v>44.288240374036839</v>
      </c>
      <c r="P70">
        <f t="shared" si="10"/>
        <v>2.9857423147959139E-2</v>
      </c>
    </row>
    <row r="71" spans="8:28" x14ac:dyDescent="0.25">
      <c r="H71">
        <v>44.8537369390611</v>
      </c>
      <c r="I71">
        <f>H71*37</f>
        <v>1659.5882667452606</v>
      </c>
      <c r="J71">
        <v>44.633563847457538</v>
      </c>
      <c r="K71">
        <f t="shared" si="11"/>
        <v>0.22017309160356291</v>
      </c>
      <c r="N71">
        <v>44.656528955678503</v>
      </c>
      <c r="O71">
        <v>44.633563847457538</v>
      </c>
      <c r="P71">
        <f t="shared" si="10"/>
        <v>2.2965108220965647E-2</v>
      </c>
    </row>
    <row r="72" spans="8:28" x14ac:dyDescent="0.25">
      <c r="H72">
        <v>44.3991726818101</v>
      </c>
      <c r="I72">
        <f>H72*37</f>
        <v>1642.7693892269738</v>
      </c>
      <c r="J72">
        <v>44.26778416646129</v>
      </c>
      <c r="K72">
        <f t="shared" si="11"/>
        <v>0.13138851534881013</v>
      </c>
      <c r="N72">
        <v>44.314707043027298</v>
      </c>
      <c r="O72">
        <v>44.26778416646129</v>
      </c>
      <c r="P72">
        <f t="shared" si="10"/>
        <v>4.6922876566007687E-2</v>
      </c>
    </row>
    <row r="73" spans="8:28" x14ac:dyDescent="0.25">
      <c r="H73">
        <v>44.268715306900503</v>
      </c>
      <c r="I73">
        <f>H73*37</f>
        <v>1637.9424663553186</v>
      </c>
      <c r="J73">
        <v>44.230678151199093</v>
      </c>
      <c r="K73">
        <f t="shared" si="11"/>
        <v>3.8037155701410086E-2</v>
      </c>
      <c r="N73">
        <v>44.036342753846</v>
      </c>
      <c r="O73">
        <v>44.230678151199093</v>
      </c>
      <c r="P73">
        <f t="shared" si="10"/>
        <v>0.19433539735309324</v>
      </c>
    </row>
    <row r="74" spans="8:28" x14ac:dyDescent="0.25">
      <c r="H74">
        <v>43.762174386431802</v>
      </c>
      <c r="I74">
        <f>H74*37</f>
        <v>1619.2004522979767</v>
      </c>
      <c r="J74">
        <v>44.163736127887574</v>
      </c>
      <c r="K74">
        <f t="shared" si="11"/>
        <v>0.40156174145577239</v>
      </c>
      <c r="N74">
        <v>43.998745582315003</v>
      </c>
      <c r="O74">
        <v>44.163736127887574</v>
      </c>
      <c r="P74">
        <f t="shared" si="10"/>
        <v>0.16499054557257153</v>
      </c>
    </row>
    <row r="75" spans="8:28" x14ac:dyDescent="0.25">
      <c r="K75">
        <f>AVERAGE(K59:K74)</f>
        <v>0.28950476663021563</v>
      </c>
      <c r="P75">
        <f>AVERAGE(P59:P74)</f>
        <v>9.9679166761815097E-2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BFA1-ED04-47AD-AE3F-3607C6972B2E}">
  <dimension ref="A2:S68"/>
  <sheetViews>
    <sheetView tabSelected="1" workbookViewId="0">
      <selection activeCell="S3" sqref="S3"/>
    </sheetView>
  </sheetViews>
  <sheetFormatPr defaultRowHeight="16.5" x14ac:dyDescent="0.25"/>
  <sheetData>
    <row r="2" spans="4:19" x14ac:dyDescent="0.25">
      <c r="Q2" t="s">
        <v>4</v>
      </c>
      <c r="R2" t="s">
        <v>7</v>
      </c>
      <c r="S2" t="s">
        <v>8</v>
      </c>
    </row>
    <row r="3" spans="4:19" x14ac:dyDescent="0.25">
      <c r="Q3">
        <v>1</v>
      </c>
      <c r="R3">
        <f>I11</f>
        <v>1651.8720702060252</v>
      </c>
      <c r="S3">
        <f>O5</f>
        <v>1318.5820663161207</v>
      </c>
    </row>
    <row r="4" spans="4:19" x14ac:dyDescent="0.25">
      <c r="J4" s="8" t="s">
        <v>2</v>
      </c>
      <c r="K4" s="9"/>
      <c r="L4" s="9"/>
      <c r="M4" s="9"/>
      <c r="N4" s="9"/>
      <c r="O4" s="10"/>
      <c r="Q4">
        <v>2</v>
      </c>
      <c r="R4">
        <f>H11</f>
        <v>1646.0263374707242</v>
      </c>
      <c r="S4">
        <f>N5</f>
        <v>1334.8831587155801</v>
      </c>
    </row>
    <row r="5" spans="4:19" x14ac:dyDescent="0.25">
      <c r="D5" s="3"/>
      <c r="E5" s="3"/>
      <c r="F5" s="3"/>
      <c r="G5" s="3"/>
      <c r="H5" s="3"/>
      <c r="I5" s="3"/>
      <c r="J5" s="7">
        <f>A63*11.57</f>
        <v>1306.3456853796124</v>
      </c>
      <c r="K5" s="7">
        <f>D63*11.57</f>
        <v>1297.0823099560739</v>
      </c>
      <c r="L5" s="7">
        <f>G63*11.79</f>
        <v>1338.3458900151622</v>
      </c>
      <c r="M5" s="7">
        <f>J63*11.79</f>
        <v>1340.2577192541316</v>
      </c>
      <c r="N5" s="7">
        <f>M63*11.79</f>
        <v>1334.8831587155801</v>
      </c>
      <c r="O5" s="7">
        <f>P63*11.79</f>
        <v>1318.5820663161207</v>
      </c>
      <c r="Q5">
        <v>3</v>
      </c>
      <c r="R5">
        <f>G11</f>
        <v>1645.1194470115447</v>
      </c>
      <c r="S5">
        <f>M5</f>
        <v>1340.2577192541316</v>
      </c>
    </row>
    <row r="6" spans="4:19" x14ac:dyDescent="0.25">
      <c r="D6" s="3"/>
      <c r="E6" s="3"/>
      <c r="F6" s="3"/>
      <c r="G6" s="3"/>
      <c r="H6" s="3"/>
      <c r="I6" s="3"/>
      <c r="J6" s="7">
        <f t="shared" ref="J6:J10" si="0">A64*11.57</f>
        <v>1303.8172933833955</v>
      </c>
      <c r="K6" s="7">
        <f t="shared" ref="K6:K10" si="1">D64*11.57</f>
        <v>1309.972237191731</v>
      </c>
      <c r="L6" s="7">
        <f t="shared" ref="L6:L10" si="2">G64*11.79</f>
        <v>1323.3941562145917</v>
      </c>
      <c r="M6" s="7">
        <f t="shared" ref="M6:M10" si="3">J64*11.79</f>
        <v>1323.2233434401087</v>
      </c>
      <c r="N6" s="7">
        <f t="shared" ref="N6:N10" si="4">M64*11.79</f>
        <v>1323.3948600045055</v>
      </c>
      <c r="O6" s="7">
        <f t="shared" ref="O6:O10" si="5">P64*11.79</f>
        <v>1330.671879573051</v>
      </c>
      <c r="Q6">
        <v>4</v>
      </c>
      <c r="R6">
        <f>F11</f>
        <v>1644.2089794470883</v>
      </c>
      <c r="S6">
        <f>L5</f>
        <v>1338.3458900151622</v>
      </c>
    </row>
    <row r="7" spans="4:19" x14ac:dyDescent="0.25">
      <c r="D7" s="3"/>
      <c r="E7" s="3"/>
      <c r="F7" s="3"/>
      <c r="G7" s="3"/>
      <c r="H7" s="3"/>
      <c r="I7" s="3"/>
      <c r="J7" s="7">
        <f t="shared" si="0"/>
        <v>1309.7920631054803</v>
      </c>
      <c r="K7" s="7">
        <f t="shared" si="1"/>
        <v>1292.0390468752303</v>
      </c>
      <c r="L7" s="7">
        <f t="shared" si="2"/>
        <v>1335.9232896635808</v>
      </c>
      <c r="M7" s="7">
        <f t="shared" si="3"/>
        <v>1322.6053396786151</v>
      </c>
      <c r="N7" s="7">
        <f t="shared" si="4"/>
        <v>1329.8143481592399</v>
      </c>
      <c r="O7" s="7">
        <f t="shared" si="5"/>
        <v>1334.1685264900191</v>
      </c>
      <c r="Q7">
        <v>5</v>
      </c>
      <c r="R7">
        <f>E11</f>
        <v>1652.9706600724305</v>
      </c>
      <c r="S7">
        <f>K5</f>
        <v>1297.0823099560739</v>
      </c>
    </row>
    <row r="8" spans="4:19" x14ac:dyDescent="0.25">
      <c r="D8" s="3"/>
      <c r="E8" s="3"/>
      <c r="F8" s="3"/>
      <c r="G8" s="3"/>
      <c r="H8" s="3"/>
      <c r="I8" s="3"/>
      <c r="J8" s="7">
        <f t="shared" si="0"/>
        <v>1310.107187203283</v>
      </c>
      <c r="K8" s="7">
        <f t="shared" si="1"/>
        <v>1310.0081858573494</v>
      </c>
      <c r="L8" s="7">
        <f t="shared" si="2"/>
        <v>1321.1577900710545</v>
      </c>
      <c r="M8" s="7">
        <f t="shared" si="3"/>
        <v>1334.1930173338967</v>
      </c>
      <c r="N8" s="7">
        <f t="shared" si="4"/>
        <v>1340.6191869522299</v>
      </c>
      <c r="O8" s="7">
        <f t="shared" si="5"/>
        <v>1322.7830059210655</v>
      </c>
      <c r="Q8">
        <v>6</v>
      </c>
      <c r="R8">
        <f>D11</f>
        <v>1645.7375372549755</v>
      </c>
      <c r="S8">
        <f>J5</f>
        <v>1306.3456853796124</v>
      </c>
    </row>
    <row r="9" spans="4:19" x14ac:dyDescent="0.25">
      <c r="D9" s="3"/>
      <c r="E9" s="3"/>
      <c r="F9" s="3"/>
      <c r="G9" s="3"/>
      <c r="H9" s="3"/>
      <c r="I9" s="3"/>
      <c r="J9" s="7">
        <f t="shared" si="0"/>
        <v>1310.214278589038</v>
      </c>
      <c r="K9" s="7">
        <f t="shared" si="1"/>
        <v>1304.3597689145038</v>
      </c>
      <c r="L9" s="7">
        <f t="shared" si="2"/>
        <v>1329.3068965988241</v>
      </c>
      <c r="M9" s="7">
        <f t="shared" si="3"/>
        <v>1327.6623266415077</v>
      </c>
      <c r="N9" s="7">
        <f t="shared" si="4"/>
        <v>1326.3001837371546</v>
      </c>
      <c r="O9" s="7">
        <f t="shared" si="5"/>
        <v>1330.5550365526581</v>
      </c>
      <c r="Q9">
        <v>7</v>
      </c>
      <c r="R9">
        <f>I12</f>
        <v>1643.6772385357808</v>
      </c>
      <c r="S9">
        <f>O6</f>
        <v>1330.671879573051</v>
      </c>
    </row>
    <row r="10" spans="4:19" x14ac:dyDescent="0.25">
      <c r="D10" s="3"/>
      <c r="E10" s="3"/>
      <c r="F10" s="3"/>
      <c r="G10" s="3"/>
      <c r="H10" s="3"/>
      <c r="I10" s="3"/>
      <c r="J10" s="7">
        <f t="shared" si="0"/>
        <v>1310.8899993469824</v>
      </c>
      <c r="K10" s="7">
        <f t="shared" si="1"/>
        <v>1299.3758269507834</v>
      </c>
      <c r="L10" s="7">
        <f t="shared" si="2"/>
        <v>1338.3982848246214</v>
      </c>
      <c r="M10" s="7">
        <f t="shared" si="3"/>
        <v>1340.8842998578157</v>
      </c>
      <c r="N10" s="7">
        <f t="shared" si="4"/>
        <v>1327.1821237003956</v>
      </c>
      <c r="O10" s="7">
        <f t="shared" si="5"/>
        <v>1329.4414669127175</v>
      </c>
      <c r="Q10">
        <v>8</v>
      </c>
      <c r="R10">
        <f>H12</f>
        <v>1640.1513851290124</v>
      </c>
      <c r="S10">
        <f>N6</f>
        <v>1323.3948600045055</v>
      </c>
    </row>
    <row r="11" spans="4:19" x14ac:dyDescent="0.25">
      <c r="D11" s="6">
        <f>A52*11.79</f>
        <v>1645.7375372549755</v>
      </c>
      <c r="E11" s="6">
        <f>D52*11.79</f>
        <v>1652.9706600724305</v>
      </c>
      <c r="F11" s="6">
        <f>G52*11.79</f>
        <v>1644.2089794470883</v>
      </c>
      <c r="G11" s="6">
        <f>J52*11.79</f>
        <v>1645.1194470115447</v>
      </c>
      <c r="H11" s="6">
        <f>M52*11.79</f>
        <v>1646.0263374707242</v>
      </c>
      <c r="I11" s="6">
        <f>P52*11.79</f>
        <v>1651.8720702060252</v>
      </c>
      <c r="J11" s="2"/>
      <c r="K11" s="14"/>
      <c r="L11" s="4"/>
      <c r="M11" s="5"/>
      <c r="N11" s="5"/>
      <c r="O11" s="5"/>
      <c r="Q11">
        <v>9</v>
      </c>
      <c r="R11">
        <f>G12</f>
        <v>1638.2370443866603</v>
      </c>
      <c r="S11">
        <f>M6</f>
        <v>1323.2233434401087</v>
      </c>
    </row>
    <row r="12" spans="4:19" x14ac:dyDescent="0.25">
      <c r="D12" s="6">
        <f>A53*11.79</f>
        <v>1637.9805546285486</v>
      </c>
      <c r="E12" s="6">
        <f>D53*11.79</f>
        <v>1639.2290120784523</v>
      </c>
      <c r="F12" s="6">
        <f>G53*11.79</f>
        <v>1633.7539901289008</v>
      </c>
      <c r="G12" s="6">
        <f>J53*11.79</f>
        <v>1638.2370443866603</v>
      </c>
      <c r="H12" s="6">
        <f>M53*11.79</f>
        <v>1640.1513851290124</v>
      </c>
      <c r="I12" s="6">
        <f>P53*11.79</f>
        <v>1643.6772385357808</v>
      </c>
      <c r="J12" s="4"/>
      <c r="K12" s="5"/>
      <c r="L12" s="5"/>
      <c r="M12" s="5"/>
      <c r="N12" s="5"/>
      <c r="O12" s="5"/>
      <c r="Q12">
        <v>10</v>
      </c>
      <c r="R12">
        <f>F12</f>
        <v>1633.7539901289008</v>
      </c>
      <c r="S12">
        <f>L6</f>
        <v>1323.3941562145917</v>
      </c>
    </row>
    <row r="13" spans="4:19" x14ac:dyDescent="0.25">
      <c r="D13" s="6">
        <f>A54*11.79</f>
        <v>1644.2321077623199</v>
      </c>
      <c r="E13" s="6">
        <f>D54*11.79</f>
        <v>1646.1229499485892</v>
      </c>
      <c r="F13" s="6">
        <f>G54*11.79</f>
        <v>1638.664893839363</v>
      </c>
      <c r="G13" s="6">
        <f>J54*11.79</f>
        <v>1642.1962568395086</v>
      </c>
      <c r="H13" s="6">
        <f>M54*11.79</f>
        <v>1641.9336063795636</v>
      </c>
      <c r="I13" s="6">
        <f>P54*11.79</f>
        <v>1651.4351256741954</v>
      </c>
      <c r="J13" s="4"/>
      <c r="K13" s="5"/>
      <c r="L13" s="5"/>
      <c r="M13" s="5"/>
      <c r="N13" s="5"/>
      <c r="O13" s="5"/>
      <c r="Q13">
        <v>11</v>
      </c>
      <c r="R13">
        <f>E12</f>
        <v>1639.2290120784523</v>
      </c>
      <c r="S13">
        <f>K6</f>
        <v>1309.972237191731</v>
      </c>
    </row>
    <row r="14" spans="4:19" x14ac:dyDescent="0.25">
      <c r="D14" s="6">
        <f>A55*11.79</f>
        <v>1644.094099214577</v>
      </c>
      <c r="E14" s="6">
        <f>D55*11.79</f>
        <v>1641.8870370353136</v>
      </c>
      <c r="F14" s="6">
        <f>G55*11.79</f>
        <v>1634.0582367318402</v>
      </c>
      <c r="G14" s="6">
        <f>J55*11.79</f>
        <v>1636.5350915943666</v>
      </c>
      <c r="H14" s="6">
        <f>M55*11.79</f>
        <v>1637.9080141590678</v>
      </c>
      <c r="I14" s="6">
        <f>P55*11.79</f>
        <v>1651.4418623559288</v>
      </c>
      <c r="J14" s="4"/>
      <c r="K14" s="5"/>
      <c r="L14" s="5"/>
      <c r="M14" s="5"/>
      <c r="N14" s="5"/>
      <c r="O14" s="5"/>
      <c r="Q14">
        <v>12</v>
      </c>
      <c r="R14">
        <f>D12</f>
        <v>1637.9805546285486</v>
      </c>
      <c r="S14">
        <f>J6</f>
        <v>1303.8172933833955</v>
      </c>
    </row>
    <row r="15" spans="4:19" x14ac:dyDescent="0.25">
      <c r="D15" s="6">
        <f>A56*11.79</f>
        <v>1643.5556551406125</v>
      </c>
      <c r="E15" s="6">
        <f>D56*11.79</f>
        <v>1645.7055480573181</v>
      </c>
      <c r="F15" s="6">
        <f>G56*11.79</f>
        <v>1633.2698642401108</v>
      </c>
      <c r="G15" s="6">
        <f>J56*11.79</f>
        <v>1644.2969630661787</v>
      </c>
      <c r="H15" s="6">
        <f>M56*11.79</f>
        <v>1639.5919701782159</v>
      </c>
      <c r="I15" s="6">
        <f>P56*11.79</f>
        <v>1642.9783819524844</v>
      </c>
      <c r="J15" s="4"/>
      <c r="K15" s="5"/>
      <c r="L15" s="5"/>
      <c r="M15" s="5"/>
      <c r="N15" s="5"/>
      <c r="O15" s="5"/>
      <c r="Q15">
        <v>13</v>
      </c>
      <c r="R15">
        <f>I13</f>
        <v>1651.4351256741954</v>
      </c>
      <c r="S15">
        <f>O7</f>
        <v>1334.1685264900191</v>
      </c>
    </row>
    <row r="16" spans="4:19" x14ac:dyDescent="0.25">
      <c r="D16" s="6">
        <f>A57*11.79</f>
        <v>1634.1736788831083</v>
      </c>
      <c r="E16" s="6">
        <f>D57*11.79</f>
        <v>1642.969190620481</v>
      </c>
      <c r="F16" s="6">
        <f>G57*11.79</f>
        <v>1637.1373517807335</v>
      </c>
      <c r="G16" s="6">
        <f>J57*11.79</f>
        <v>1636.9823626153047</v>
      </c>
      <c r="H16" s="6">
        <f>M57*11.79</f>
        <v>1640.8664097109063</v>
      </c>
      <c r="I16" s="6">
        <f>P57*11.79</f>
        <v>1640.9503605449338</v>
      </c>
      <c r="J16" s="4"/>
      <c r="K16" s="5"/>
      <c r="L16" s="5"/>
      <c r="M16" s="5"/>
      <c r="N16" s="5"/>
      <c r="O16" s="5"/>
      <c r="Q16">
        <v>14</v>
      </c>
      <c r="R16">
        <f>H13</f>
        <v>1641.9336063795636</v>
      </c>
      <c r="S16">
        <f>N7</f>
        <v>1329.8143481592399</v>
      </c>
    </row>
    <row r="17" spans="4:19" x14ac:dyDescent="0.25">
      <c r="D17" s="11" t="s">
        <v>3</v>
      </c>
      <c r="E17" s="12"/>
      <c r="F17" s="12"/>
      <c r="G17" s="12"/>
      <c r="H17" s="12"/>
      <c r="I17" s="13"/>
      <c r="Q17">
        <v>15</v>
      </c>
      <c r="R17">
        <f>G13</f>
        <v>1642.1962568395086</v>
      </c>
      <c r="S17">
        <f>M7</f>
        <v>1322.6053396786151</v>
      </c>
    </row>
    <row r="18" spans="4:19" x14ac:dyDescent="0.25">
      <c r="Q18">
        <v>16</v>
      </c>
      <c r="R18">
        <f>F13</f>
        <v>1638.664893839363</v>
      </c>
      <c r="S18">
        <f>L7</f>
        <v>1335.9232896635808</v>
      </c>
    </row>
    <row r="19" spans="4:19" x14ac:dyDescent="0.25">
      <c r="Q19">
        <v>17</v>
      </c>
      <c r="R19">
        <f>E13</f>
        <v>1646.1229499485892</v>
      </c>
      <c r="S19">
        <f>K7</f>
        <v>1292.0390468752303</v>
      </c>
    </row>
    <row r="20" spans="4:19" x14ac:dyDescent="0.25">
      <c r="Q20">
        <v>18</v>
      </c>
      <c r="R20">
        <f>D13</f>
        <v>1644.2321077623199</v>
      </c>
      <c r="S20">
        <f>J7</f>
        <v>1309.7920631054803</v>
      </c>
    </row>
    <row r="21" spans="4:19" x14ac:dyDescent="0.25">
      <c r="Q21">
        <v>19</v>
      </c>
      <c r="R21">
        <f>I14</f>
        <v>1651.4418623559288</v>
      </c>
      <c r="S21">
        <f>O8</f>
        <v>1322.7830059210655</v>
      </c>
    </row>
    <row r="22" spans="4:19" x14ac:dyDescent="0.25">
      <c r="Q22">
        <v>20</v>
      </c>
      <c r="R22">
        <f>H14</f>
        <v>1637.9080141590678</v>
      </c>
      <c r="S22">
        <f>N8</f>
        <v>1340.6191869522299</v>
      </c>
    </row>
    <row r="23" spans="4:19" x14ac:dyDescent="0.25">
      <c r="Q23">
        <v>21</v>
      </c>
      <c r="R23">
        <f>G14</f>
        <v>1636.5350915943666</v>
      </c>
      <c r="S23">
        <f>M8</f>
        <v>1334.1930173338967</v>
      </c>
    </row>
    <row r="24" spans="4:19" x14ac:dyDescent="0.25">
      <c r="Q24">
        <v>22</v>
      </c>
      <c r="R24">
        <f>F14</f>
        <v>1634.0582367318402</v>
      </c>
      <c r="S24">
        <f>L8</f>
        <v>1321.1577900710545</v>
      </c>
    </row>
    <row r="25" spans="4:19" x14ac:dyDescent="0.25">
      <c r="Q25">
        <v>23</v>
      </c>
      <c r="R25">
        <f>E14</f>
        <v>1641.8870370353136</v>
      </c>
      <c r="S25">
        <f>K8</f>
        <v>1310.0081858573494</v>
      </c>
    </row>
    <row r="26" spans="4:19" x14ac:dyDescent="0.25">
      <c r="Q26">
        <v>24</v>
      </c>
      <c r="R26">
        <f>D14</f>
        <v>1644.094099214577</v>
      </c>
      <c r="S26">
        <f>J8</f>
        <v>1310.107187203283</v>
      </c>
    </row>
    <row r="27" spans="4:19" x14ac:dyDescent="0.25">
      <c r="Q27">
        <v>25</v>
      </c>
      <c r="R27">
        <f>I15</f>
        <v>1642.9783819524844</v>
      </c>
      <c r="S27">
        <f>O9</f>
        <v>1330.5550365526581</v>
      </c>
    </row>
    <row r="28" spans="4:19" x14ac:dyDescent="0.25">
      <c r="Q28">
        <v>26</v>
      </c>
      <c r="R28">
        <f>H15</f>
        <v>1639.5919701782159</v>
      </c>
      <c r="S28">
        <f>N9</f>
        <v>1326.3001837371546</v>
      </c>
    </row>
    <row r="29" spans="4:19" x14ac:dyDescent="0.25">
      <c r="Q29">
        <v>27</v>
      </c>
      <c r="R29">
        <f>G15</f>
        <v>1644.2969630661787</v>
      </c>
      <c r="S29">
        <f>M9</f>
        <v>1327.6623266415077</v>
      </c>
    </row>
    <row r="30" spans="4:19" x14ac:dyDescent="0.25">
      <c r="Q30">
        <v>28</v>
      </c>
      <c r="R30">
        <f>F15</f>
        <v>1633.2698642401108</v>
      </c>
      <c r="S30">
        <f>L9</f>
        <v>1329.3068965988241</v>
      </c>
    </row>
    <row r="31" spans="4:19" x14ac:dyDescent="0.25">
      <c r="Q31">
        <v>29</v>
      </c>
      <c r="R31">
        <f>E15</f>
        <v>1645.7055480573181</v>
      </c>
      <c r="S31">
        <f>K9</f>
        <v>1304.3597689145038</v>
      </c>
    </row>
    <row r="32" spans="4:19" x14ac:dyDescent="0.25">
      <c r="Q32">
        <v>30</v>
      </c>
      <c r="R32">
        <f>D15</f>
        <v>1643.5556551406125</v>
      </c>
      <c r="S32">
        <f>J9</f>
        <v>1310.214278589038</v>
      </c>
    </row>
    <row r="33" spans="17:19" x14ac:dyDescent="0.25">
      <c r="Q33">
        <v>31</v>
      </c>
      <c r="R33">
        <f>I16</f>
        <v>1640.9503605449338</v>
      </c>
      <c r="S33">
        <f>O10</f>
        <v>1329.4414669127175</v>
      </c>
    </row>
    <row r="34" spans="17:19" x14ac:dyDescent="0.25">
      <c r="Q34">
        <v>32</v>
      </c>
      <c r="R34">
        <f>H16</f>
        <v>1640.8664097109063</v>
      </c>
      <c r="S34">
        <f>N10</f>
        <v>1327.1821237003956</v>
      </c>
    </row>
    <row r="35" spans="17:19" x14ac:dyDescent="0.25">
      <c r="Q35">
        <v>33</v>
      </c>
      <c r="R35">
        <f>G16</f>
        <v>1636.9823626153047</v>
      </c>
      <c r="S35">
        <f>M10</f>
        <v>1340.8842998578157</v>
      </c>
    </row>
    <row r="36" spans="17:19" x14ac:dyDescent="0.25">
      <c r="Q36">
        <v>34</v>
      </c>
      <c r="R36">
        <f>F16</f>
        <v>1637.1373517807335</v>
      </c>
      <c r="S36">
        <f>L10</f>
        <v>1338.3982848246214</v>
      </c>
    </row>
    <row r="37" spans="17:19" x14ac:dyDescent="0.25">
      <c r="Q37">
        <v>35</v>
      </c>
      <c r="R37">
        <f>E16</f>
        <v>1642.969190620481</v>
      </c>
      <c r="S37">
        <f>K10</f>
        <v>1299.3758269507834</v>
      </c>
    </row>
    <row r="38" spans="17:19" x14ac:dyDescent="0.25">
      <c r="Q38">
        <v>36</v>
      </c>
      <c r="R38">
        <f>D16</f>
        <v>1634.1736788831083</v>
      </c>
      <c r="S38">
        <f>J10</f>
        <v>1310.8899993469824</v>
      </c>
    </row>
    <row r="50" spans="1:18" x14ac:dyDescent="0.25">
      <c r="A50" t="s">
        <v>5</v>
      </c>
    </row>
    <row r="52" spans="1:18" x14ac:dyDescent="0.25">
      <c r="A52">
        <v>139.58757737531599</v>
      </c>
      <c r="B52">
        <v>398.45254995713498</v>
      </c>
      <c r="C52">
        <v>202.943265721572</v>
      </c>
      <c r="D52">
        <v>140.201073797492</v>
      </c>
      <c r="E52">
        <v>828.85947613505402</v>
      </c>
      <c r="F52">
        <v>198.579027959336</v>
      </c>
      <c r="G52">
        <v>139.45792870628401</v>
      </c>
      <c r="H52">
        <v>387.031993732307</v>
      </c>
      <c r="I52">
        <v>205.20333464106201</v>
      </c>
      <c r="J52">
        <v>139.535152418282</v>
      </c>
      <c r="K52">
        <v>817.18154027672495</v>
      </c>
      <c r="L52">
        <v>202.820636906971</v>
      </c>
      <c r="M52">
        <v>139.61207272864499</v>
      </c>
      <c r="N52">
        <v>356.12130570568303</v>
      </c>
      <c r="O52">
        <v>201.28598961189499</v>
      </c>
      <c r="P52">
        <v>140.10789399542199</v>
      </c>
      <c r="Q52">
        <v>787.73649071598402</v>
      </c>
      <c r="R52">
        <v>196.38988885715901</v>
      </c>
    </row>
    <row r="53" spans="1:18" x14ac:dyDescent="0.25">
      <c r="A53">
        <v>138.92964839936801</v>
      </c>
      <c r="B53">
        <v>404.55958926344101</v>
      </c>
      <c r="C53">
        <v>633.99530266940701</v>
      </c>
      <c r="D53">
        <v>139.035539616493</v>
      </c>
      <c r="E53">
        <v>834.60312181152301</v>
      </c>
      <c r="F53">
        <v>629.35701362018096</v>
      </c>
      <c r="G53">
        <v>138.571161164453</v>
      </c>
      <c r="H53">
        <v>390.09115822838697</v>
      </c>
      <c r="I53">
        <v>636.48533047475405</v>
      </c>
      <c r="J53">
        <v>138.95140325586601</v>
      </c>
      <c r="K53">
        <v>821.32956681820701</v>
      </c>
      <c r="L53">
        <v>634.31435413483405</v>
      </c>
      <c r="M53">
        <v>139.11377312375001</v>
      </c>
      <c r="N53">
        <v>360.31640784616002</v>
      </c>
      <c r="O53">
        <v>633.42076055622397</v>
      </c>
      <c r="P53">
        <v>139.41282769599499</v>
      </c>
      <c r="Q53">
        <v>791.30707465881903</v>
      </c>
      <c r="R53">
        <v>628.26303145823999</v>
      </c>
    </row>
    <row r="54" spans="1:18" x14ac:dyDescent="0.25">
      <c r="A54">
        <v>139.45989039544699</v>
      </c>
      <c r="B54">
        <v>330.24461848508298</v>
      </c>
      <c r="C54">
        <v>201.113623178925</v>
      </c>
      <c r="D54">
        <v>139.62026717121199</v>
      </c>
      <c r="E54">
        <v>761.69885854701101</v>
      </c>
      <c r="F54">
        <v>199.35767089852399</v>
      </c>
      <c r="G54">
        <v>138.98769243760501</v>
      </c>
      <c r="H54">
        <v>377.76120067130501</v>
      </c>
      <c r="I54">
        <v>202.304892062552</v>
      </c>
      <c r="J54">
        <v>139.28721432056901</v>
      </c>
      <c r="K54">
        <v>807.63509123281597</v>
      </c>
      <c r="L54">
        <v>200.64629433400901</v>
      </c>
      <c r="M54">
        <v>139.26493692786801</v>
      </c>
      <c r="N54">
        <v>358.95119831708701</v>
      </c>
      <c r="O54">
        <v>208.54484319300801</v>
      </c>
      <c r="P54">
        <v>140.07083339051701</v>
      </c>
      <c r="Q54">
        <v>790.95469507033204</v>
      </c>
      <c r="R54">
        <v>205.07486506605099</v>
      </c>
    </row>
    <row r="55" spans="1:18" x14ac:dyDescent="0.25">
      <c r="A55">
        <v>139.448184835842</v>
      </c>
      <c r="B55">
        <v>333.76734405195901</v>
      </c>
      <c r="C55">
        <v>634.81887233979205</v>
      </c>
      <c r="D55">
        <v>139.26098702589599</v>
      </c>
      <c r="E55">
        <v>765.33643083575896</v>
      </c>
      <c r="F55">
        <v>631.12339347514705</v>
      </c>
      <c r="G55">
        <v>138.596966643922</v>
      </c>
      <c r="H55">
        <v>380.137387214233</v>
      </c>
      <c r="I55">
        <v>635.950850329074</v>
      </c>
      <c r="J55">
        <v>138.80704763310999</v>
      </c>
      <c r="K55">
        <v>811.03616654978998</v>
      </c>
      <c r="L55">
        <v>632.78773724742302</v>
      </c>
      <c r="M55">
        <v>138.92349568779201</v>
      </c>
      <c r="N55">
        <v>362.98969661945802</v>
      </c>
      <c r="O55">
        <v>641.05648984974198</v>
      </c>
      <c r="P55">
        <v>140.071404779977</v>
      </c>
      <c r="Q55">
        <v>795.40054999364997</v>
      </c>
      <c r="R55">
        <v>636.66522855263702</v>
      </c>
    </row>
    <row r="56" spans="1:18" x14ac:dyDescent="0.25">
      <c r="A56">
        <v>139.402515279102</v>
      </c>
      <c r="B56">
        <v>311.740976906443</v>
      </c>
      <c r="C56">
        <v>198.64192205462501</v>
      </c>
      <c r="D56">
        <v>139.58486412699901</v>
      </c>
      <c r="E56">
        <v>744.37038893469298</v>
      </c>
      <c r="F56">
        <v>194.89088580975601</v>
      </c>
      <c r="G56">
        <v>138.53009874810101</v>
      </c>
      <c r="H56">
        <v>358.39501850800002</v>
      </c>
      <c r="I56">
        <v>207.87773848725499</v>
      </c>
      <c r="J56">
        <v>139.46539126939601</v>
      </c>
      <c r="K56">
        <v>790.55998895651203</v>
      </c>
      <c r="L56">
        <v>203.098279222125</v>
      </c>
      <c r="M56">
        <v>139.06632486668499</v>
      </c>
      <c r="N56">
        <v>329.540215439463</v>
      </c>
      <c r="O56">
        <v>195.32674685495701</v>
      </c>
      <c r="P56">
        <v>139.35355232845501</v>
      </c>
      <c r="Q56">
        <v>760.75314446385698</v>
      </c>
      <c r="R56">
        <v>191.79760105965099</v>
      </c>
    </row>
    <row r="57" spans="1:18" x14ac:dyDescent="0.25">
      <c r="A57">
        <v>138.60675817498799</v>
      </c>
      <c r="B57">
        <v>316.00675562756697</v>
      </c>
      <c r="C57">
        <v>629.39942529845496</v>
      </c>
      <c r="D57">
        <v>139.352772741347</v>
      </c>
      <c r="E57">
        <v>748.23957612927802</v>
      </c>
      <c r="F57">
        <v>625.54066188885099</v>
      </c>
      <c r="G57">
        <v>138.85812992203</v>
      </c>
      <c r="H57">
        <v>361.40657202841498</v>
      </c>
      <c r="I57">
        <v>637.84898602090698</v>
      </c>
      <c r="J57">
        <v>138.844984106472</v>
      </c>
      <c r="K57">
        <v>794.28988882054398</v>
      </c>
      <c r="L57">
        <v>635.87890083177899</v>
      </c>
      <c r="M57">
        <v>139.17441982280801</v>
      </c>
      <c r="N57">
        <v>333.81128758789299</v>
      </c>
      <c r="O57">
        <v>626.37093978222595</v>
      </c>
      <c r="P57">
        <v>139.18154033459999</v>
      </c>
      <c r="Q57">
        <v>765.85712970844099</v>
      </c>
      <c r="R57">
        <v>622.21221871433602</v>
      </c>
    </row>
    <row r="62" spans="1:18" x14ac:dyDescent="0.25">
      <c r="A62" t="s">
        <v>6</v>
      </c>
    </row>
    <row r="63" spans="1:18" x14ac:dyDescent="0.25">
      <c r="A63">
        <v>112.908010836613</v>
      </c>
      <c r="B63">
        <v>326.42838583215303</v>
      </c>
      <c r="C63">
        <v>188.68173416225</v>
      </c>
      <c r="D63">
        <v>112.107373375633</v>
      </c>
      <c r="E63">
        <v>755.87380125220704</v>
      </c>
      <c r="F63">
        <v>182.456097985056</v>
      </c>
      <c r="G63">
        <v>113.51534266456</v>
      </c>
      <c r="H63">
        <v>321.282960952726</v>
      </c>
      <c r="I63">
        <v>193.52419906852899</v>
      </c>
      <c r="J63">
        <v>113.67749951264901</v>
      </c>
      <c r="K63">
        <v>750.15229150143898</v>
      </c>
      <c r="L63">
        <v>190.04364983418901</v>
      </c>
      <c r="M63">
        <v>113.22164196060901</v>
      </c>
      <c r="N63">
        <v>316.07517875299902</v>
      </c>
      <c r="O63">
        <v>185.62713943904001</v>
      </c>
      <c r="P63">
        <v>111.839021740129</v>
      </c>
      <c r="Q63">
        <v>744.42735268950298</v>
      </c>
      <c r="R63">
        <v>177.98395440167499</v>
      </c>
    </row>
    <row r="64" spans="1:18" x14ac:dyDescent="0.25">
      <c r="A64">
        <v>112.68948084558301</v>
      </c>
      <c r="B64">
        <v>331.85744627815001</v>
      </c>
      <c r="C64">
        <v>620.61786465248497</v>
      </c>
      <c r="D64">
        <v>113.22145524561201</v>
      </c>
      <c r="E64">
        <v>763.16364457064606</v>
      </c>
      <c r="F64">
        <v>619.19902370159696</v>
      </c>
      <c r="G64">
        <v>112.247171858744</v>
      </c>
      <c r="H64">
        <v>325.32653501879997</v>
      </c>
      <c r="I64">
        <v>623.97840058189001</v>
      </c>
      <c r="J64">
        <v>112.232683921977</v>
      </c>
      <c r="K64">
        <v>754.93695118348398</v>
      </c>
      <c r="L64">
        <v>619.24047660802898</v>
      </c>
      <c r="M64">
        <v>112.247231552545</v>
      </c>
      <c r="N64">
        <v>320.884935538989</v>
      </c>
      <c r="O64">
        <v>615.37617764485401</v>
      </c>
      <c r="P64">
        <v>112.86445119364301</v>
      </c>
      <c r="Q64">
        <v>750.82614739371104</v>
      </c>
      <c r="R64">
        <v>610.74391216148297</v>
      </c>
    </row>
    <row r="65" spans="1:18" x14ac:dyDescent="0.25">
      <c r="A65">
        <v>113.205882723032</v>
      </c>
      <c r="B65">
        <v>347.23723730372001</v>
      </c>
      <c r="C65">
        <v>186.932793675092</v>
      </c>
      <c r="D65">
        <v>111.671482011688</v>
      </c>
      <c r="E65">
        <v>777.20456392394703</v>
      </c>
      <c r="F65">
        <v>175.266208879169</v>
      </c>
      <c r="G65">
        <v>113.309863415062</v>
      </c>
      <c r="H65">
        <v>339.52079771671703</v>
      </c>
      <c r="I65">
        <v>185.25363167808101</v>
      </c>
      <c r="J65">
        <v>112.18026630013701</v>
      </c>
      <c r="K65">
        <v>770.77366961664904</v>
      </c>
      <c r="L65">
        <v>181.07283709219899</v>
      </c>
      <c r="M65">
        <v>112.79171740112299</v>
      </c>
      <c r="N65">
        <v>335.52553630270501</v>
      </c>
      <c r="O65">
        <v>190.19679673972101</v>
      </c>
      <c r="P65">
        <v>113.16102854029</v>
      </c>
      <c r="Q65">
        <v>767.47798134540506</v>
      </c>
      <c r="R65">
        <v>185.90801683900801</v>
      </c>
    </row>
    <row r="66" spans="1:18" x14ac:dyDescent="0.25">
      <c r="A66">
        <v>113.23311903226301</v>
      </c>
      <c r="B66">
        <v>353.67323525487399</v>
      </c>
      <c r="C66">
        <v>614.393167609937</v>
      </c>
      <c r="D66">
        <v>113.224562304006</v>
      </c>
      <c r="E66">
        <v>784.59436940822297</v>
      </c>
      <c r="F66">
        <v>608.84579710943297</v>
      </c>
      <c r="G66">
        <v>112.05748855564499</v>
      </c>
      <c r="H66">
        <v>343.07808307293902</v>
      </c>
      <c r="I66">
        <v>616.14131903227803</v>
      </c>
      <c r="J66">
        <v>113.16310579592</v>
      </c>
      <c r="K66">
        <v>775.150802690266</v>
      </c>
      <c r="L66">
        <v>612.75474049899799</v>
      </c>
      <c r="M66">
        <v>113.708158350486</v>
      </c>
      <c r="N66">
        <v>340.348228035722</v>
      </c>
      <c r="O66">
        <v>622.11200425040204</v>
      </c>
      <c r="P66">
        <v>112.195335531897</v>
      </c>
      <c r="Q66">
        <v>770.680453308967</v>
      </c>
      <c r="R66">
        <v>612.57823612016898</v>
      </c>
    </row>
    <row r="67" spans="1:18" x14ac:dyDescent="0.25">
      <c r="A67">
        <v>113.242374986088</v>
      </c>
      <c r="B67">
        <v>317.76276416455198</v>
      </c>
      <c r="C67">
        <v>203.561675657704</v>
      </c>
      <c r="D67">
        <v>112.73636723548</v>
      </c>
      <c r="E67">
        <v>747.91661448857997</v>
      </c>
      <c r="F67">
        <v>196.78546631247201</v>
      </c>
      <c r="G67">
        <v>112.74867655630401</v>
      </c>
      <c r="H67">
        <v>310.966037184497</v>
      </c>
      <c r="I67">
        <v>195.90060394567101</v>
      </c>
      <c r="J67">
        <v>112.609188010306</v>
      </c>
      <c r="K67">
        <v>741.86296130699304</v>
      </c>
      <c r="L67">
        <v>191.14812996548201</v>
      </c>
      <c r="M67">
        <v>112.493654260997</v>
      </c>
      <c r="N67">
        <v>358.12518019562498</v>
      </c>
      <c r="O67">
        <v>203.92012271976299</v>
      </c>
      <c r="P67">
        <v>112.85454084416099</v>
      </c>
      <c r="Q67">
        <v>788.45420019154005</v>
      </c>
      <c r="R67">
        <v>199.62919823848</v>
      </c>
    </row>
    <row r="68" spans="1:18" x14ac:dyDescent="0.25">
      <c r="A68">
        <v>113.300777817371</v>
      </c>
      <c r="B68">
        <v>323.37036936298801</v>
      </c>
      <c r="C68">
        <v>635.64465874707503</v>
      </c>
      <c r="D68">
        <v>112.30560302081101</v>
      </c>
      <c r="E68">
        <v>751.70794262528398</v>
      </c>
      <c r="F68">
        <v>627.44430427705197</v>
      </c>
      <c r="G68">
        <v>113.519786668755</v>
      </c>
      <c r="H68">
        <v>317.61361777045403</v>
      </c>
      <c r="I68">
        <v>627.56726823385895</v>
      </c>
      <c r="J68">
        <v>113.73064460202001</v>
      </c>
      <c r="K68">
        <v>744.01543507161102</v>
      </c>
      <c r="L68">
        <v>623.55992309202998</v>
      </c>
      <c r="M68">
        <v>112.568458329126</v>
      </c>
      <c r="N68">
        <v>363.26916497191598</v>
      </c>
      <c r="O68">
        <v>633.47907631322801</v>
      </c>
      <c r="P68">
        <v>112.760090493021</v>
      </c>
      <c r="Q68">
        <v>792.55259664247205</v>
      </c>
      <c r="R68">
        <v>627.735618672545</v>
      </c>
    </row>
  </sheetData>
  <mergeCells count="2">
    <mergeCell ref="J4:O4"/>
    <mergeCell ref="D17:I1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SEM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育廷</dc:creator>
  <cp:lastModifiedBy>育廷</cp:lastModifiedBy>
  <dcterms:created xsi:type="dcterms:W3CDTF">2024-01-18T08:12:32Z</dcterms:created>
  <dcterms:modified xsi:type="dcterms:W3CDTF">2024-01-19T04:55:46Z</dcterms:modified>
</cp:coreProperties>
</file>